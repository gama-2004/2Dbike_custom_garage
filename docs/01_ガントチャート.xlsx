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filterPrivacy="1" codeName="ThisWorkbook"/>
  <xr:revisionPtr revIDLastSave="523" documentId="8_{B83506D5-BC30-4A73-9B05-735D7B7B86F4}" xr6:coauthVersionLast="47" xr6:coauthVersionMax="47" xr10:uidLastSave="{42F001D7-01C8-4344-8B61-6CB0FA3E0AA6}"/>
  <bookViews>
    <workbookView xWindow="-98" yWindow="-98" windowWidth="21795" windowHeight="13875" xr2:uid="{00000000-000D-0000-FFFF-FFFF00000000}"/>
  </bookViews>
  <sheets>
    <sheet name="2026" sheetId="11" r:id="rId1"/>
    <sheet name="2027" sheetId="13" r:id="rId2"/>
    <sheet name="詳細情報" sheetId="12" state="hidden" r:id="rId3"/>
  </sheets>
  <definedNames>
    <definedName name="_xlnm.Print_Titles" localSheetId="0">'2026'!$4:$6</definedName>
    <definedName name="_xlnm.Print_Titles" localSheetId="1">'2027'!$4:$6</definedName>
    <definedName name="タスク_開始" localSheetId="0">'2026'!$E1</definedName>
    <definedName name="タスク_開始" localSheetId="1">'2027'!$E1</definedName>
    <definedName name="タスク_開始">#REF!</definedName>
    <definedName name="タスク_終了" localSheetId="0">'2026'!$F1</definedName>
    <definedName name="タスク_終了" localSheetId="1">'2027'!$F1</definedName>
    <definedName name="タスク_終了">#REF!</definedName>
    <definedName name="タスク_進捗状況" localSheetId="0">'2026'!$D1</definedName>
    <definedName name="タスク_進捗状況" localSheetId="1">'2027'!$D1</definedName>
    <definedName name="タスク_進捗状況">#REF!</definedName>
    <definedName name="プロジェクトの開始" localSheetId="1">'2027'!$E$3</definedName>
    <definedName name="プロジェクトの開始">'2026'!$E$3</definedName>
    <definedName name="今日" localSheetId="0">TODAY()</definedName>
    <definedName name="今日" localSheetId="1">TODAY()</definedName>
    <definedName name="週表示" localSheetId="1">'2027'!$E$4</definedName>
    <definedName name="週表示">'2026'!$E$4</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tc={D293CE43-1482-48DC-83C1-84B4DD41760C}</author>
    <author>tc={1ECD15E4-77CB-423D-A5F8-CD62EC76E7F3}</author>
    <author>tc={F627EE36-49B2-49AA-BAE7-88C318B5C05D}</author>
    <author>tc={EBE4AF5F-7CF9-4771-AF90-1AB6296A7080}</author>
    <author>tc={9E0E395E-3486-476A-AB25-F3A9582B885E}</author>
    <author>tc={0BE4B143-B837-4CC1-85A9-DBC662E90285}</author>
    <author>tc={0D4DF415-71E9-4CFB-8CC3-E66F9262E939}</author>
    <author>tc={74C94CCE-9DA8-456E-B157-E3FD4864E065}</author>
  </authors>
  <commentList>
    <comment ref="E3" authorId="0" shapeId="0" xr:uid="{D293CE43-1482-48DC-83C1-84B4DD41760C}">
      <text>
        <t>[Threaded comment]
Your version of Excel allows you to read this threaded comment; however, any edits to it will get removed if the file is opened in a newer version of Excel. Learn more: https://go.microsoft.com/fwlink/?linkid=870924
Comment:
    ここの日程はいじらないこと。</t>
      </text>
    </comment>
    <comment ref="B6" authorId="1" shapeId="0" xr:uid="{1ECD15E4-77CB-423D-A5F8-CD62EC76E7F3}">
      <text>
        <t>[Threaded comment]
Your version of Excel allows you to read this threaded comment; however, any edits to it will get removed if the file is opened in a newer version of Excel. Learn more: https://go.microsoft.com/fwlink/?linkid=870924
Comment:
    不要な行は、グループ化をして閉じること。
（行を削除しない。非表示にしない。）</t>
      </text>
    </comment>
    <comment ref="C6" authorId="2" shapeId="0" xr:uid="{F627EE36-49B2-49AA-BAE7-88C318B5C05D}">
      <text>
        <t>[Threaded comment]
Your version of Excel allows you to read this threaded comment; however, any edits to it will get removed if the file is opened in a newer version of Excel. Learn more: https://go.microsoft.com/fwlink/?linkid=870924
Comment:
    担当者の苗字だけを,区切りで入力</t>
      </text>
    </comment>
    <comment ref="D6" authorId="3" shapeId="0" xr:uid="{EBE4AF5F-7CF9-4771-AF90-1AB6296A7080}">
      <text>
        <t>[Threaded comment]
Your version of Excel allows you to read this threaded comment; however, any edits to it will get removed if the file is opened in a newer version of Excel. Learn more: https://go.microsoft.com/fwlink/?linkid=870924
Comment:
    日付の予定に対して、何％完成したか？を入力</t>
      </text>
    </comment>
    <comment ref="E6" authorId="4" shapeId="0" xr:uid="{9E0E395E-3486-476A-AB25-F3A9582B885E}">
      <text>
        <t>[Threaded comment]
Your version of Excel allows you to read this threaded comment; however, any edits to it will get removed if the file is opened in a newer version of Excel. Learn more: https://go.microsoft.com/fwlink/?linkid=870924
Comment:
    スケジュールの予定の「開始」を日付で入力</t>
      </text>
    </comment>
    <comment ref="F6" authorId="5" shapeId="0" xr:uid="{0BE4B143-B837-4CC1-85A9-DBC662E90285}">
      <text>
        <t>[Threaded comment]
Your version of Excel allows you to read this threaded comment; however, any edits to it will get removed if the file is opened in a newer version of Excel. Learn more: https://go.microsoft.com/fwlink/?linkid=870924
Comment:
    スケジュールの予定の「終了」を日付で入力</t>
      </text>
    </comment>
    <comment ref="B91" authorId="6" shapeId="0" xr:uid="{0D4DF415-71E9-4CFB-8CC3-E66F9262E939}">
      <text>
        <t>[Threaded comment]
Your version of Excel allows you to read this threaded comment; however, any edits to it will get removed if the file is opened in a newer version of Excel. Learn more: https://go.microsoft.com/fwlink/?linkid=870924
Comment:
    テーブル設計（SQL）なども忘れずに。</t>
      </text>
    </comment>
    <comment ref="B144" authorId="7" shapeId="0" xr:uid="{74C94CCE-9DA8-456E-B157-E3FD4864E065}">
      <text>
        <t xml:space="preserve">[Threaded comment]
Your version of Excel allows you to read this threaded comment; however, any edits to it will get removed if the file is opened in a newer version of Excel. Learn more: https://go.microsoft.com/fwlink/?linkid=870924
Comment:
    コード設計とは何か？用いられるコードの種類とコード設計書に記述する内容を解説 | Promapedia（プロマペディア）｜プロジェクトマネジメント用語辞典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tc={582AFFB2-866C-4406-A85E-2BD527296D84}</author>
    <author>tc={032D2D63-8BF3-4080-B195-1E37F401C031}</author>
    <author>tc={4A92BCFB-D4BF-4FEE-BB4B-20289098BBAE}</author>
    <author>tc={5235012C-85BF-4DB3-8F69-7D5952C21B95}</author>
    <author>tc={C8745776-CA0A-440D-B4FA-EF4822A7C2CB}</author>
    <author>tc={36E0889A-7570-4161-8598-FBCD402DC5D2}</author>
    <author>tc={B3BA808E-3A87-4271-B950-B6B702F7FC8E}</author>
    <author>tc={22C5683C-3F5C-481A-9042-11A3394E5A31}</author>
  </authors>
  <commentList>
    <comment ref="E3" authorId="0" shapeId="0" xr:uid="{582AFFB2-866C-4406-A85E-2BD527296D84}">
      <text>
        <t>[Threaded comment]
Your version of Excel allows you to read this threaded comment; however, any edits to it will get removed if the file is opened in a newer version of Excel. Learn more: https://go.microsoft.com/fwlink/?linkid=870924
Comment:
    ここの日程はいじらないこと。</t>
      </text>
    </comment>
    <comment ref="B6" authorId="1" shapeId="0" xr:uid="{032D2D63-8BF3-4080-B195-1E37F401C031}">
      <text>
        <t>[Threaded comment]
Your version of Excel allows you to read this threaded comment; however, any edits to it will get removed if the file is opened in a newer version of Excel. Learn more: https://go.microsoft.com/fwlink/?linkid=870924
Comment:
    不要な行は、グループ化をして閉じること。
（行を削除しない。非表示にしない。）</t>
      </text>
    </comment>
    <comment ref="C6" authorId="2" shapeId="0" xr:uid="{4A92BCFB-D4BF-4FEE-BB4B-20289098BBAE}">
      <text>
        <t>[Threaded comment]
Your version of Excel allows you to read this threaded comment; however, any edits to it will get removed if the file is opened in a newer version of Excel. Learn more: https://go.microsoft.com/fwlink/?linkid=870924
Comment:
    担当者の苗字だけを,区切りで入力</t>
      </text>
    </comment>
    <comment ref="D6" authorId="3" shapeId="0" xr:uid="{5235012C-85BF-4DB3-8F69-7D5952C21B95}">
      <text>
        <t>[Threaded comment]
Your version of Excel allows you to read this threaded comment; however, any edits to it will get removed if the file is opened in a newer version of Excel. Learn more: https://go.microsoft.com/fwlink/?linkid=870924
Comment:
    日付の予定に対して、何％完成したか？を入力</t>
      </text>
    </comment>
    <comment ref="E6" authorId="4" shapeId="0" xr:uid="{C8745776-CA0A-440D-B4FA-EF4822A7C2CB}">
      <text>
        <t>[Threaded comment]
Your version of Excel allows you to read this threaded comment; however, any edits to it will get removed if the file is opened in a newer version of Excel. Learn more: https://go.microsoft.com/fwlink/?linkid=870924
Comment:
    スケジュールの予定の「開始」を日付で入力</t>
      </text>
    </comment>
    <comment ref="F6" authorId="5" shapeId="0" xr:uid="{36E0889A-7570-4161-8598-FBCD402DC5D2}">
      <text>
        <t>[Threaded comment]
Your version of Excel allows you to read this threaded comment; however, any edits to it will get removed if the file is opened in a newer version of Excel. Learn more: https://go.microsoft.com/fwlink/?linkid=870924
Comment:
    スケジュールの予定の「終了」を日付で入力</t>
      </text>
    </comment>
    <comment ref="B91" authorId="6" shapeId="0" xr:uid="{B3BA808E-3A87-4271-B950-B6B702F7FC8E}">
      <text>
        <t>[Threaded comment]
Your version of Excel allows you to read this threaded comment; however, any edits to it will get removed if the file is opened in a newer version of Excel. Learn more: https://go.microsoft.com/fwlink/?linkid=870924
Comment:
    テーブル設計（SQL）なども忘れずに。</t>
      </text>
    </comment>
    <comment ref="B144" authorId="7" shapeId="0" xr:uid="{22C5683C-3F5C-481A-9042-11A3394E5A31}">
      <text>
        <t xml:space="preserve">[Threaded comment]
Your version of Excel allows you to read this threaded comment; however, any edits to it will get removed if the file is opened in a newer version of Excel. Learn more: https://go.microsoft.com/fwlink/?linkid=870924
Comment:
    コード設計とは何か？用いられるコードの種類とコード設計書に記述する内容を解説 | Promapedia（プロマペディア）｜プロジェクトマネジメント用語辞典 </t>
      </text>
    </comment>
  </commentList>
</comments>
</file>

<file path=xl/sharedStrings.xml><?xml version="1.0" encoding="utf-8"?>
<sst xmlns="http://schemas.openxmlformats.org/spreadsheetml/2006/main" count="1902" uniqueCount="421">
  <si>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</si>
  <si>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2Dバイクカスタムガレージ</t>
  </si>
  <si>
    <t>セル B2 には会社の名前を入力します。</t>
  </si>
  <si>
    <t>チーム名を入力</t>
    <rPh sb="3" eb="4">
      <t>メイ</t>
    </rPh>
    <rPh sb="5" eb="7">
      <t>ニュウリョク</t>
    </rPh>
    <phoneticPr fontId="19"/>
  </si>
  <si>
    <t>セル B3 に、プロジェクト主任の名前を入力します。セル E3 には、プロジェクトの開始日を入力します。プロジェクトの開始: ラベルはセル C3 にあります。</t>
  </si>
  <si>
    <t>プロジェクトの開始:</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</si>
  <si>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</si>
  <si>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</si>
  <si>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</si>
  <si>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</si>
  <si>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</si>
  <si>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1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</si>
  <si>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</si>
  <si>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</si>
  <si>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</si>
  <si>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</si>
  <si>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</si>
  <si>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</si>
  <si>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1.基本設計書</t>
    <rPh sb="2" eb="7">
      <t>キホンセッケイショ</t>
    </rPh>
    <phoneticPr fontId="19"/>
  </si>
  <si>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</si>
  <si>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システム構築方針</t>
    <rPh sb="4" eb="6">
      <t>コウチク</t>
    </rPh>
    <rPh sb="6" eb="8">
      <t>ホウシン</t>
    </rPh>
    <phoneticPr fontId="19"/>
  </si>
  <si>
    <t xml:space="preserve"> </t>
    <phoneticPr fontId="19"/>
  </si>
  <si>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</si>
  <si>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制約条件・前提条件</t>
    <rPh sb="0" eb="4">
      <t>セイヤクジョウケン</t>
    </rPh>
    <rPh sb="5" eb="9">
      <t>ゼンテイジョウケン</t>
    </rPh>
    <phoneticPr fontId="19"/>
  </si>
  <si>
    <t>システム概要</t>
    <rPh sb="4" eb="6">
      <t>ガイヨウ</t>
    </rPh>
    <phoneticPr fontId="19"/>
  </si>
  <si>
    <t>システム構成</t>
    <rPh sb="4" eb="6">
      <t>コウセイ</t>
    </rPh>
    <phoneticPr fontId="19"/>
  </si>
  <si>
    <t>機能設計（詳細は、2.機能設計）</t>
    <rPh sb="0" eb="4">
      <t>キノウセッケイ</t>
    </rPh>
    <rPh sb="5" eb="7">
      <t>ショウサイ</t>
    </rPh>
    <rPh sb="11" eb="15">
      <t>キノウセッケイ</t>
    </rPh>
    <phoneticPr fontId="19"/>
  </si>
  <si>
    <t>全員</t>
    <rPh sb="0" eb="2">
      <t>ゼンイン</t>
    </rPh>
    <phoneticPr fontId="19"/>
  </si>
  <si>
    <t>画面設計（詳細は、3.画面設計）</t>
    <rPh sb="0" eb="2">
      <t>ガメン</t>
    </rPh>
    <rPh sb="2" eb="4">
      <t>セッケイ</t>
    </rPh>
    <rPh sb="5" eb="7">
      <t>ショウサイ</t>
    </rPh>
    <rPh sb="11" eb="13">
      <t>ガメン</t>
    </rPh>
    <rPh sb="13" eb="15">
      <t>セッケイ</t>
    </rPh>
    <phoneticPr fontId="19"/>
  </si>
  <si>
    <t>帳票設計</t>
    <rPh sb="0" eb="4">
      <t>チョウヒョウセッケイ</t>
    </rPh>
    <phoneticPr fontId="19"/>
  </si>
  <si>
    <t>DB設計（詳細は、4.DB設計）</t>
    <rPh sb="2" eb="4">
      <t>セッケイ</t>
    </rPh>
    <rPh sb="5" eb="7">
      <t>ショウサイ</t>
    </rPh>
    <rPh sb="13" eb="15">
      <t>セッケイ</t>
    </rPh>
    <phoneticPr fontId="19"/>
  </si>
  <si>
    <t>コード設計（詳細は、5.コード設計）</t>
    <rPh sb="3" eb="5">
      <t>セッケイ</t>
    </rPh>
    <rPh sb="6" eb="8">
      <t>ショウサイ</t>
    </rPh>
    <rPh sb="15" eb="17">
      <t>セッケイ</t>
    </rPh>
    <phoneticPr fontId="19"/>
  </si>
  <si>
    <t>性能・運用・信頼性設計（詳細は、6.性能・運用設計）</t>
    <rPh sb="0" eb="2">
      <t>セイノウ</t>
    </rPh>
    <rPh sb="3" eb="5">
      <t>ウンヨウ</t>
    </rPh>
    <rPh sb="6" eb="9">
      <t>シンライセイ</t>
    </rPh>
    <rPh sb="9" eb="11">
      <t>セッケイ</t>
    </rPh>
    <rPh sb="12" eb="14">
      <t>ショウサイ</t>
    </rPh>
    <rPh sb="18" eb="20">
      <t>セイノウ</t>
    </rPh>
    <rPh sb="21" eb="23">
      <t>ウンヨウ</t>
    </rPh>
    <rPh sb="23" eb="25">
      <t>セッケイ</t>
    </rPh>
    <phoneticPr fontId="19"/>
  </si>
  <si>
    <t>各種設計図（詳細は、7.設計図）</t>
    <rPh sb="0" eb="2">
      <t>カクシュ</t>
    </rPh>
    <rPh sb="2" eb="5">
      <t>セッケイズ</t>
    </rPh>
    <rPh sb="6" eb="8">
      <t>ショウサイ</t>
    </rPh>
    <rPh sb="12" eb="15">
      <t>セッケイズ</t>
    </rPh>
    <phoneticPr fontId="19"/>
  </si>
  <si>
    <t>プログラミング（詳細は、8.プログラミング）</t>
    <rPh sb="8" eb="10">
      <t>ショウサイ</t>
    </rPh>
    <phoneticPr fontId="19"/>
  </si>
  <si>
    <t>各種テスト（詳細は、9.各種テスト）</t>
    <rPh sb="0" eb="2">
      <t>カクシュ</t>
    </rPh>
    <rPh sb="6" eb="8">
      <t>ショウサイ</t>
    </rPh>
    <rPh sb="12" eb="14">
      <t>カクシュ</t>
    </rPh>
    <phoneticPr fontId="19"/>
  </si>
  <si>
    <t>発表準備（詳細は、10.発表準備）</t>
    <rPh sb="0" eb="2">
      <t>ハッピョウ</t>
    </rPh>
    <rPh sb="2" eb="4">
      <t>ジュンビ</t>
    </rPh>
    <rPh sb="5" eb="7">
      <t>ショウサイ</t>
    </rPh>
    <rPh sb="12" eb="16">
      <t>ハッピョウジュンビ</t>
    </rPh>
    <phoneticPr fontId="19"/>
  </si>
  <si>
    <t>内部発表</t>
    <rPh sb="0" eb="4">
      <t>ナイブハッピョウ</t>
    </rPh>
    <phoneticPr fontId="19"/>
  </si>
  <si>
    <t>外部発表</t>
    <rPh sb="0" eb="4">
      <t>ガイブハッピョウ</t>
    </rPh>
    <phoneticPr fontId="19"/>
  </si>
  <si>
    <t>－</t>
    <phoneticPr fontId="19"/>
  </si>
  <si>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</si>
  <si>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2.機能設計</t>
    <rPh sb="2" eb="6">
      <t>キノウセッケイ</t>
    </rPh>
    <phoneticPr fontId="19"/>
  </si>
  <si>
    <t>機能一覧の洗い出し</t>
    <rPh sb="0" eb="2">
      <t>キノウ</t>
    </rPh>
    <rPh sb="2" eb="4">
      <t>イチラン</t>
    </rPh>
    <rPh sb="5" eb="6">
      <t>アラ</t>
    </rPh>
    <rPh sb="7" eb="8">
      <t>ダ</t>
    </rPh>
    <phoneticPr fontId="19"/>
  </si>
  <si>
    <t>2-01.車両ベース選択機能</t>
  </si>
  <si>
    <t xml:space="preserve"> </t>
  </si>
  <si>
    <t>2-02.ベース車両追加機能</t>
  </si>
  <si>
    <t>2-03.パーツ追加機能</t>
  </si>
  <si>
    <t>2-04.組み合わせ制約機能</t>
  </si>
  <si>
    <t>2-05.パーツ・塗装選択機能</t>
  </si>
  <si>
    <t>2-06.取り消し機能</t>
  </si>
  <si>
    <t>2-07.ビフォーアフター比較機能</t>
  </si>
  <si>
    <t>2-08.仕様保存・呼出機能</t>
  </si>
  <si>
    <t>2-09.PDF保存機能</t>
  </si>
  <si>
    <t>2-10.共有機能</t>
  </si>
  <si>
    <t>2-11.○○機能</t>
    <rPh sb="7" eb="9">
      <t>キノウ</t>
    </rPh>
    <phoneticPr fontId="19"/>
  </si>
  <si>
    <t>2-12.○○機能</t>
    <rPh sb="7" eb="9">
      <t>キノウ</t>
    </rPh>
    <phoneticPr fontId="19"/>
  </si>
  <si>
    <t>2-13.○○機能</t>
    <rPh sb="7" eb="9">
      <t>キノウ</t>
    </rPh>
    <phoneticPr fontId="19"/>
  </si>
  <si>
    <t>2-14.○○機能</t>
    <rPh sb="7" eb="9">
      <t>キノウ</t>
    </rPh>
    <phoneticPr fontId="19"/>
  </si>
  <si>
    <t>2-15.○○機能</t>
    <rPh sb="7" eb="9">
      <t>キノウ</t>
    </rPh>
    <phoneticPr fontId="19"/>
  </si>
  <si>
    <t>2-16.○○機能</t>
    <rPh sb="7" eb="9">
      <t>キノウ</t>
    </rPh>
    <phoneticPr fontId="19"/>
  </si>
  <si>
    <t>2-17.○○機能</t>
    <rPh sb="7" eb="9">
      <t>キノウ</t>
    </rPh>
    <phoneticPr fontId="19"/>
  </si>
  <si>
    <t>2-18.○○機能</t>
    <rPh sb="7" eb="9">
      <t>キノウ</t>
    </rPh>
    <phoneticPr fontId="19"/>
  </si>
  <si>
    <t>2-19.○○機能</t>
    <rPh sb="7" eb="9">
      <t>キノウ</t>
    </rPh>
    <phoneticPr fontId="19"/>
  </si>
  <si>
    <t>2-20.○○機能</t>
    <rPh sb="7" eb="9">
      <t>キノウ</t>
    </rPh>
    <phoneticPr fontId="19"/>
  </si>
  <si>
    <t>2-21.○○機能</t>
    <rPh sb="7" eb="9">
      <t>キノウ</t>
    </rPh>
    <phoneticPr fontId="19"/>
  </si>
  <si>
    <t>2-22.○○機能</t>
    <rPh sb="7" eb="9">
      <t>キノウ</t>
    </rPh>
    <phoneticPr fontId="19"/>
  </si>
  <si>
    <t>2-23.○○機能</t>
    <rPh sb="7" eb="9">
      <t>キノウ</t>
    </rPh>
    <phoneticPr fontId="19"/>
  </si>
  <si>
    <t>2-24.○○機能</t>
    <rPh sb="7" eb="9">
      <t>キノウ</t>
    </rPh>
    <phoneticPr fontId="19"/>
  </si>
  <si>
    <t>2-25.○○機能</t>
    <rPh sb="7" eb="9">
      <t>キノウ</t>
    </rPh>
    <phoneticPr fontId="19"/>
  </si>
  <si>
    <t>2-26.○○機能</t>
    <rPh sb="7" eb="9">
      <t>キノウ</t>
    </rPh>
    <phoneticPr fontId="19"/>
  </si>
  <si>
    <t>2-27.○○機能</t>
    <rPh sb="7" eb="9">
      <t>キノウ</t>
    </rPh>
    <phoneticPr fontId="19"/>
  </si>
  <si>
    <t>2-28.○○機能</t>
    <rPh sb="7" eb="9">
      <t>キノウ</t>
    </rPh>
    <phoneticPr fontId="19"/>
  </si>
  <si>
    <t>2-29.○○機能</t>
    <rPh sb="7" eb="9">
      <t>キノウ</t>
    </rPh>
    <phoneticPr fontId="19"/>
  </si>
  <si>
    <t>2-30.○○機能</t>
    <rPh sb="7" eb="9">
      <t>キノウ</t>
    </rPh>
    <phoneticPr fontId="19"/>
  </si>
  <si>
    <t>サンプル フェーズ タイトル ブロック</t>
  </si>
  <si>
    <t>3.画面設計</t>
    <rPh sb="2" eb="6">
      <t>ガメンセッケイ</t>
    </rPh>
    <phoneticPr fontId="19"/>
  </si>
  <si>
    <t>画面一覧の洗い出し</t>
    <rPh sb="0" eb="2">
      <t>ガメン</t>
    </rPh>
    <rPh sb="2" eb="4">
      <t>イチラン</t>
    </rPh>
    <rPh sb="5" eb="6">
      <t>アラ</t>
    </rPh>
    <rPh sb="7" eb="8">
      <t>ダ</t>
    </rPh>
    <phoneticPr fontId="19"/>
  </si>
  <si>
    <t>画面遷移図</t>
    <rPh sb="0" eb="5">
      <t>ガメンセンイズ</t>
    </rPh>
    <phoneticPr fontId="19"/>
  </si>
  <si>
    <t>画面項目定義</t>
    <rPh sb="0" eb="2">
      <t>ガメン</t>
    </rPh>
    <rPh sb="2" eb="6">
      <t>コウモクテイギ</t>
    </rPh>
    <phoneticPr fontId="19"/>
  </si>
  <si>
    <t>3-01.○○機能画面</t>
  </si>
  <si>
    <t>3-02.○○機能画面</t>
    <rPh sb="7" eb="9">
      <t>キノウ</t>
    </rPh>
    <rPh sb="9" eb="11">
      <t>ガメン</t>
    </rPh>
    <phoneticPr fontId="19"/>
  </si>
  <si>
    <t>3-03.○○機能画面</t>
    <rPh sb="7" eb="9">
      <t>キノウ</t>
    </rPh>
    <rPh sb="9" eb="11">
      <t>ガメン</t>
    </rPh>
    <phoneticPr fontId="19"/>
  </si>
  <si>
    <t>3-04.○○機能画面</t>
    <rPh sb="7" eb="9">
      <t>キノウ</t>
    </rPh>
    <rPh sb="9" eb="11">
      <t>ガメン</t>
    </rPh>
    <phoneticPr fontId="19"/>
  </si>
  <si>
    <t>3-05.○○機能画面</t>
    <rPh sb="7" eb="9">
      <t>キノウ</t>
    </rPh>
    <rPh sb="9" eb="11">
      <t>ガメン</t>
    </rPh>
    <phoneticPr fontId="19"/>
  </si>
  <si>
    <t>3-06.○○機能画面</t>
    <rPh sb="7" eb="9">
      <t>キノウ</t>
    </rPh>
    <rPh sb="9" eb="11">
      <t>ガメン</t>
    </rPh>
    <phoneticPr fontId="19"/>
  </si>
  <si>
    <t>3-07.○○機能画面</t>
    <rPh sb="7" eb="9">
      <t>キノウ</t>
    </rPh>
    <rPh sb="9" eb="11">
      <t>ガメン</t>
    </rPh>
    <phoneticPr fontId="19"/>
  </si>
  <si>
    <t>3-08.○○機能画面</t>
    <rPh sb="7" eb="9">
      <t>キノウ</t>
    </rPh>
    <rPh sb="9" eb="11">
      <t>ガメン</t>
    </rPh>
    <phoneticPr fontId="19"/>
  </si>
  <si>
    <t>3-09.○○機能画面</t>
    <rPh sb="7" eb="9">
      <t>キノウ</t>
    </rPh>
    <rPh sb="9" eb="11">
      <t>ガメン</t>
    </rPh>
    <phoneticPr fontId="19"/>
  </si>
  <si>
    <t>3-10.○○機能画面</t>
    <rPh sb="7" eb="9">
      <t>キノウ</t>
    </rPh>
    <rPh sb="9" eb="11">
      <t>ガメン</t>
    </rPh>
    <phoneticPr fontId="19"/>
  </si>
  <si>
    <t>3-11.○○機能画面</t>
    <rPh sb="7" eb="9">
      <t>キノウ</t>
    </rPh>
    <rPh sb="9" eb="11">
      <t>ガメン</t>
    </rPh>
    <phoneticPr fontId="19"/>
  </si>
  <si>
    <t>3-12.○○機能画面</t>
    <rPh sb="7" eb="9">
      <t>キノウ</t>
    </rPh>
    <rPh sb="9" eb="11">
      <t>ガメン</t>
    </rPh>
    <phoneticPr fontId="19"/>
  </si>
  <si>
    <t>3-13.○○機能画面</t>
    <rPh sb="7" eb="9">
      <t>キノウ</t>
    </rPh>
    <rPh sb="9" eb="11">
      <t>ガメン</t>
    </rPh>
    <phoneticPr fontId="19"/>
  </si>
  <si>
    <t>3-14.○○機能画面</t>
    <rPh sb="7" eb="9">
      <t>キノウ</t>
    </rPh>
    <rPh sb="9" eb="11">
      <t>ガメン</t>
    </rPh>
    <phoneticPr fontId="19"/>
  </si>
  <si>
    <t>3-15.○○機能画面</t>
    <rPh sb="7" eb="9">
      <t>キノウ</t>
    </rPh>
    <rPh sb="9" eb="11">
      <t>ガメン</t>
    </rPh>
    <phoneticPr fontId="19"/>
  </si>
  <si>
    <t>3-16.○○機能画面</t>
    <rPh sb="7" eb="9">
      <t>キノウ</t>
    </rPh>
    <rPh sb="9" eb="11">
      <t>ガメン</t>
    </rPh>
    <phoneticPr fontId="19"/>
  </si>
  <si>
    <t>3-17.○○機能画面</t>
    <rPh sb="7" eb="9">
      <t>キノウ</t>
    </rPh>
    <rPh sb="9" eb="11">
      <t>ガメン</t>
    </rPh>
    <phoneticPr fontId="19"/>
  </si>
  <si>
    <t>3-18.○○機能画面</t>
    <rPh sb="7" eb="9">
      <t>キノウ</t>
    </rPh>
    <rPh sb="9" eb="11">
      <t>ガメン</t>
    </rPh>
    <phoneticPr fontId="19"/>
  </si>
  <si>
    <t>3-19.○○機能画面</t>
    <rPh sb="7" eb="9">
      <t>キノウ</t>
    </rPh>
    <rPh sb="9" eb="11">
      <t>ガメン</t>
    </rPh>
    <phoneticPr fontId="19"/>
  </si>
  <si>
    <t>3-20.○○機能画面</t>
    <rPh sb="7" eb="9">
      <t>キノウ</t>
    </rPh>
    <rPh sb="9" eb="11">
      <t>ガメン</t>
    </rPh>
    <phoneticPr fontId="19"/>
  </si>
  <si>
    <t>3-21.○○機能画面</t>
    <rPh sb="7" eb="9">
      <t>キノウ</t>
    </rPh>
    <rPh sb="9" eb="11">
      <t>ガメン</t>
    </rPh>
    <phoneticPr fontId="19"/>
  </si>
  <si>
    <t>3-22.○○機能画面</t>
    <rPh sb="7" eb="9">
      <t>キノウ</t>
    </rPh>
    <rPh sb="9" eb="11">
      <t>ガメン</t>
    </rPh>
    <phoneticPr fontId="19"/>
  </si>
  <si>
    <t>3-23.○○機能画面</t>
    <rPh sb="7" eb="9">
      <t>キノウ</t>
    </rPh>
    <rPh sb="9" eb="11">
      <t>ガメン</t>
    </rPh>
    <phoneticPr fontId="19"/>
  </si>
  <si>
    <t>3-24.○○機能画面</t>
    <rPh sb="7" eb="9">
      <t>キノウ</t>
    </rPh>
    <rPh sb="9" eb="11">
      <t>ガメン</t>
    </rPh>
    <phoneticPr fontId="19"/>
  </si>
  <si>
    <t>3-25.○○機能画面</t>
    <rPh sb="7" eb="9">
      <t>キノウ</t>
    </rPh>
    <rPh sb="9" eb="11">
      <t>ガメン</t>
    </rPh>
    <phoneticPr fontId="19"/>
  </si>
  <si>
    <t>3-26.○○機能画面</t>
    <rPh sb="7" eb="9">
      <t>キノウ</t>
    </rPh>
    <rPh sb="9" eb="11">
      <t>ガメン</t>
    </rPh>
    <phoneticPr fontId="19"/>
  </si>
  <si>
    <t>3-27.○○機能画面</t>
    <rPh sb="7" eb="9">
      <t>キノウ</t>
    </rPh>
    <rPh sb="9" eb="11">
      <t>ガメン</t>
    </rPh>
    <phoneticPr fontId="19"/>
  </si>
  <si>
    <t>3-28.○○機能画面</t>
    <rPh sb="7" eb="9">
      <t>キノウ</t>
    </rPh>
    <rPh sb="9" eb="11">
      <t>ガメン</t>
    </rPh>
    <phoneticPr fontId="19"/>
  </si>
  <si>
    <t>3-29.○○機能画面</t>
    <rPh sb="7" eb="9">
      <t>キノウ</t>
    </rPh>
    <rPh sb="9" eb="11">
      <t>ガメン</t>
    </rPh>
    <phoneticPr fontId="19"/>
  </si>
  <si>
    <t>3-30.○○機能画面</t>
    <rPh sb="7" eb="9">
      <t>キノウ</t>
    </rPh>
    <rPh sb="9" eb="11">
      <t>ガメン</t>
    </rPh>
    <phoneticPr fontId="19"/>
  </si>
  <si>
    <t>4.データベース設計</t>
    <rPh sb="8" eb="10">
      <t>セッケイ</t>
    </rPh>
    <phoneticPr fontId="19"/>
  </si>
  <si>
    <t>テーブル定義</t>
    <rPh sb="4" eb="6">
      <t>テイギ</t>
    </rPh>
    <phoneticPr fontId="19"/>
  </si>
  <si>
    <t>ER図</t>
    <rPh sb="2" eb="3">
      <t>ズ</t>
    </rPh>
    <phoneticPr fontId="19"/>
  </si>
  <si>
    <t>4-01.ベース車両テーブル（T_vehicles)</t>
  </si>
  <si>
    <t>4-02.部位テーブル（T_part_slots)</t>
  </si>
  <si>
    <t>4-03.パーツテーブル（T_parts)</t>
  </si>
  <si>
    <t>4-04.塗装部分テーブル（T_paint_slots)</t>
  </si>
  <si>
    <t>4-05.塗装部位の色テーブル（T_pallette_colors)</t>
  </si>
  <si>
    <t>4-06.組み合わせ制約テーブル（T_constraints)</t>
  </si>
  <si>
    <t>4-07.仕様テーブル（T_build_spec)</t>
  </si>
  <si>
    <t>4-08.仕様（パーツ）テーブル（T_build_spec_parts)</t>
  </si>
  <si>
    <t>4-09.仕様（塗装部位の色）テーブル（T_build_spec_colors)</t>
  </si>
  <si>
    <t>4-10.名付け保存した仕様テーブル（T_saved_builds)</t>
  </si>
  <si>
    <t>4-11.○○テーブル（T_xxxx)</t>
  </si>
  <si>
    <t>4-12.○○テーブル（T_xxxx)</t>
  </si>
  <si>
    <t>4-13.○○テーブル（T_xxxx)</t>
  </si>
  <si>
    <t>4-14.○○テーブル（T_xxxx)</t>
  </si>
  <si>
    <t>4-15.○○テーブル（T_xxxx)</t>
  </si>
  <si>
    <t>4-16.○○テーブル（T_xxxx)</t>
  </si>
  <si>
    <t>4-17.○○テーブル（T_xxxx)</t>
  </si>
  <si>
    <t>4-18.○○テーブル（T_xxxx)</t>
  </si>
  <si>
    <t>4-19.○○テーブル（T_xxxx)</t>
  </si>
  <si>
    <t>4-20.○○テーブル（T_xxxx)</t>
  </si>
  <si>
    <t>4-21.○○テーブル（T_xxxx)</t>
  </si>
  <si>
    <t>4-22.○○テーブル（T_xxxx)</t>
  </si>
  <si>
    <t>4-23.○○テーブル（T_xxxx)</t>
  </si>
  <si>
    <t>4-24.○○テーブル（T_xxxx)</t>
  </si>
  <si>
    <t>4-25.○○テーブル（T_xxxx)</t>
  </si>
  <si>
    <t>4-26.○○テーブル（T_xxxx)</t>
  </si>
  <si>
    <t>4-27.○○テーブル（T_xxxx)</t>
  </si>
  <si>
    <t>4-28.○○テーブル（T_xxxx)</t>
  </si>
  <si>
    <t>4-29.○○テーブル（T_xxxx)</t>
  </si>
  <si>
    <t>4-30.○○テーブル（T_xxxx)</t>
  </si>
  <si>
    <t>4-31.○○テーブル（T_xxxx)</t>
  </si>
  <si>
    <t>4-32.○○テーブル（T_xxxx)</t>
  </si>
  <si>
    <t>4-33.○○テーブル（T_xxxx)</t>
  </si>
  <si>
    <t>4-34.○○テーブル（T_xxxx)</t>
  </si>
  <si>
    <t>4-35.○○テーブル（T_xxxx)</t>
  </si>
  <si>
    <t>4-36.○○テーブル（T_xxxx)</t>
  </si>
  <si>
    <t>4-37.○○テーブル（T_xxxx)</t>
  </si>
  <si>
    <t>4-38.○○テーブル（T_xxxx)</t>
  </si>
  <si>
    <t>4-39.○○テーブル（T_xxxx)</t>
  </si>
  <si>
    <t>4-40.○○テーブル（T_xxxx)</t>
  </si>
  <si>
    <t>4-41.○○テーブル（T_xxxx)</t>
  </si>
  <si>
    <t>4-42.○○テーブル（T_xxxx)</t>
  </si>
  <si>
    <t>4-43.○○テーブル（T_xxxx)</t>
  </si>
  <si>
    <t>4-44.○○テーブル（T_xxxx)</t>
  </si>
  <si>
    <t>4-45.○○テーブル（T_xxxx)</t>
  </si>
  <si>
    <t>4-46.○○テーブル（T_xxxx)</t>
  </si>
  <si>
    <t>4-47.○○テーブル（T_xxxx)</t>
  </si>
  <si>
    <t>4-48.○○テーブル（T_xxxx)</t>
  </si>
  <si>
    <t>4-49.○○テーブル（T_xxxx)</t>
  </si>
  <si>
    <t>4-50.○○テーブル（T_xxxx)</t>
  </si>
  <si>
    <t>5.コード設計</t>
    <rPh sb="5" eb="7">
      <t>セッケイ</t>
    </rPh>
    <phoneticPr fontId="19"/>
  </si>
  <si>
    <t>業務コード</t>
    <rPh sb="0" eb="2">
      <t>ギョウム</t>
    </rPh>
    <phoneticPr fontId="19"/>
  </si>
  <si>
    <t>システム制御コード</t>
    <rPh sb="4" eb="6">
      <t>セイギョ</t>
    </rPh>
    <phoneticPr fontId="19"/>
  </si>
  <si>
    <t>タスク 1</t>
    <phoneticPr fontId="19"/>
  </si>
  <si>
    <t>タスク 2</t>
    <phoneticPr fontId="19"/>
  </si>
  <si>
    <t>タスク 3</t>
  </si>
  <si>
    <t>タスク 4</t>
  </si>
  <si>
    <t>タスク 5</t>
  </si>
  <si>
    <t>タスク 6</t>
  </si>
  <si>
    <t>タスク 7</t>
  </si>
  <si>
    <t>タスク 8</t>
  </si>
  <si>
    <t>タスク 9</t>
  </si>
  <si>
    <t>タスク 10</t>
    <phoneticPr fontId="19"/>
  </si>
  <si>
    <t>6.性能・運用・信頼性設計</t>
    <rPh sb="2" eb="4">
      <t>セイノウ</t>
    </rPh>
    <rPh sb="5" eb="7">
      <t>ウンヨウ</t>
    </rPh>
    <rPh sb="8" eb="11">
      <t>シンライセイ</t>
    </rPh>
    <rPh sb="11" eb="13">
      <t>セッケイ</t>
    </rPh>
    <phoneticPr fontId="19"/>
  </si>
  <si>
    <t>性能設計</t>
    <rPh sb="0" eb="4">
      <t>セイノウセッケイ</t>
    </rPh>
    <phoneticPr fontId="19"/>
  </si>
  <si>
    <t>業務内容</t>
    <rPh sb="0" eb="2">
      <t>ギョウム</t>
    </rPh>
    <rPh sb="2" eb="4">
      <t>ナイヨウ</t>
    </rPh>
    <phoneticPr fontId="19"/>
  </si>
  <si>
    <t>管理項目</t>
    <rPh sb="0" eb="2">
      <t>カンリ</t>
    </rPh>
    <rPh sb="2" eb="4">
      <t>コウモク</t>
    </rPh>
    <phoneticPr fontId="19"/>
  </si>
  <si>
    <t>運用スケジュール</t>
    <rPh sb="0" eb="2">
      <t>ウンヨウ</t>
    </rPh>
    <phoneticPr fontId="19"/>
  </si>
  <si>
    <t>信頼性・保守設計</t>
    <rPh sb="0" eb="2">
      <t>シンライ</t>
    </rPh>
    <rPh sb="2" eb="3">
      <t>セイ</t>
    </rPh>
    <rPh sb="4" eb="6">
      <t>ホシュ</t>
    </rPh>
    <rPh sb="6" eb="8">
      <t>セッケイ</t>
    </rPh>
    <phoneticPr fontId="19"/>
  </si>
  <si>
    <t>7A.各種設計図（クラス図）</t>
    <rPh sb="3" eb="5">
      <t>カクシュ</t>
    </rPh>
    <rPh sb="5" eb="8">
      <t>セッケイズ</t>
    </rPh>
    <rPh sb="12" eb="13">
      <t>ズ</t>
    </rPh>
    <phoneticPr fontId="19"/>
  </si>
  <si>
    <t>7A-01.CustomizeScreenクラス（xxxxx）</t>
  </si>
  <si>
    <t>7A-02.BikeViewクラス（xxxxx）</t>
  </si>
  <si>
    <t>7A-03.CompareViewクラス（xxxxx）</t>
  </si>
  <si>
    <t>7A-04.SaveListPanelクラス（xxxxx）</t>
  </si>
  <si>
    <t>7A-05.AdminScreenクラス（xxxxx）</t>
  </si>
  <si>
    <t>7A-06.PdfDialogクラス（xxxxx）</t>
  </si>
  <si>
    <t>7A-07.VehicleSelectorクラス（xxxxx）</t>
  </si>
  <si>
    <t>7A-08.VehicleSelectorクラス（xxxxx）</t>
  </si>
  <si>
    <t>7A-09.CatalogManagerクラス（xxxxx）</t>
  </si>
  <si>
    <t>7A-10.ConstraintCheckerクラス（xxxxx）</t>
  </si>
  <si>
    <t>7A-11.CustomizeControllerクラス（xxxxx）</t>
  </si>
  <si>
    <t>7A-12.HistoryManagerクラス（xxxxx）</t>
  </si>
  <si>
    <t>7A-13.CompareControllerクラス（xxxxx）</t>
  </si>
  <si>
    <t>7A-14.BuildRepositoryクラス（xxxxx）</t>
  </si>
  <si>
    <t>7A-15.PdfExporterクラス（xxxxx）</t>
  </si>
  <si>
    <t>7A-16.Tendererクラス（xxxxx）</t>
  </si>
  <si>
    <t>7A-17.Catalogクラス（xxxxx）</t>
  </si>
  <si>
    <t>7A-18.BaseVehicleクラス（xxxxx）</t>
  </si>
  <si>
    <t>7A-19.PartSlogクラス（xxxxx）</t>
  </si>
  <si>
    <t>7A-20.Partクラス（xxxxx）</t>
  </si>
  <si>
    <t>7A-21.PaintSlotクラス（xxxxx）</t>
  </si>
  <si>
    <t>7A-22.Constraintクラス（xxxxx）</t>
  </si>
  <si>
    <t>7A-23.BuildSpecクラス（xxxxx）</t>
  </si>
  <si>
    <t>7A-24.WorkSpaceクラス（xxxxx）</t>
  </si>
  <si>
    <t>7A-25.EditCommandクラス（xxxxx）</t>
  </si>
  <si>
    <t>7A-26.SavedBuildクラス（xxxxx）</t>
  </si>
  <si>
    <t>7A-27.○○クラス（xxxxx）</t>
  </si>
  <si>
    <t>7A-28.○○クラス（xxxxx）</t>
  </si>
  <si>
    <t>7A-29.○○クラス（xxxxx）</t>
  </si>
  <si>
    <t>7A-30.○○クラス（xxxxx）</t>
  </si>
  <si>
    <t>7B.各種設計図（ユースケース図）</t>
    <rPh sb="3" eb="5">
      <t>カクシュ</t>
    </rPh>
    <rPh sb="5" eb="8">
      <t>セッケイズ</t>
    </rPh>
    <rPh sb="15" eb="16">
      <t>ズ</t>
    </rPh>
    <phoneticPr fontId="19"/>
  </si>
  <si>
    <t>7B-01.○○クラス（xxxxx）</t>
    <phoneticPr fontId="19"/>
  </si>
  <si>
    <t>7B-02.○○クラス（xxxxx）</t>
  </si>
  <si>
    <t>7B-03.○○クラス（xxxxx）</t>
  </si>
  <si>
    <t>7B-04.○○クラス（xxxxx）</t>
  </si>
  <si>
    <t>7B-05.○○クラス（xxxxx）</t>
  </si>
  <si>
    <t>7B-06.○○クラス（xxxxx）</t>
  </si>
  <si>
    <t>7B-07.○○クラス（xxxxx）</t>
  </si>
  <si>
    <t>7B-08.○○クラス（xxxxx）</t>
  </si>
  <si>
    <t>7B-09.○○クラス（xxxxx）</t>
  </si>
  <si>
    <t>7B-10.○○クラス（xxxxx）</t>
  </si>
  <si>
    <t>7B-11.○○クラス（xxxxx）</t>
  </si>
  <si>
    <t>7B-12.○○クラス（xxxxx）</t>
  </si>
  <si>
    <t>7B-13.○○クラス（xxxxx）</t>
  </si>
  <si>
    <t>7B-14.○○クラス（xxxxx）</t>
  </si>
  <si>
    <t>7B-15.○○クラス（xxxxx）</t>
  </si>
  <si>
    <t>7B-16.○○クラス（xxxxx）</t>
  </si>
  <si>
    <t>7B-17.○○クラス（xxxxx）</t>
  </si>
  <si>
    <t>7B-18.○○クラス（xxxxx）</t>
  </si>
  <si>
    <t>7B-19.○○クラス（xxxxx）</t>
  </si>
  <si>
    <t>7B-20.○○クラス（xxxxx）</t>
  </si>
  <si>
    <t>7B-21.○○クラス（xxxxx）</t>
  </si>
  <si>
    <t>7B-22.○○クラス（xxxxx）</t>
  </si>
  <si>
    <t>7B-23.○○クラス（xxxxx）</t>
  </si>
  <si>
    <t>7B-24.○○クラス（xxxxx）</t>
  </si>
  <si>
    <t>7B-25.○○クラス（xxxxx）</t>
  </si>
  <si>
    <t>7B-26.○○クラス（xxxxx）</t>
  </si>
  <si>
    <t>7B-27.○○クラス（xxxxx）</t>
  </si>
  <si>
    <t>7B-28.○○クラス（xxxxx）</t>
  </si>
  <si>
    <t>7B-29.○○クラス（xxxxx）</t>
  </si>
  <si>
    <t>7B-30.○○クラス（xxxxx）</t>
  </si>
  <si>
    <t>7C.各種設計図（ユースケース記述）</t>
    <rPh sb="3" eb="5">
      <t>カクシュ</t>
    </rPh>
    <rPh sb="5" eb="8">
      <t>セッケイズ</t>
    </rPh>
    <rPh sb="15" eb="17">
      <t>キジュツ</t>
    </rPh>
    <phoneticPr fontId="19"/>
  </si>
  <si>
    <t>7C-01.○○クラス（xxxxx）</t>
    <phoneticPr fontId="19"/>
  </si>
  <si>
    <t>7C-02.○○クラス（xxxxx）</t>
  </si>
  <si>
    <t>7C-03.○○クラス（xxxxx）</t>
  </si>
  <si>
    <t>7C-04.○○クラス（xxxxx）</t>
  </si>
  <si>
    <t>7C-05.○○クラス（xxxxx）</t>
  </si>
  <si>
    <t>7C-06.○○クラス（xxxxx）</t>
  </si>
  <si>
    <t>7C-07.○○クラス（xxxxx）</t>
  </si>
  <si>
    <t>7C-08.○○クラス（xxxxx）</t>
  </si>
  <si>
    <t>7C-09.○○クラス（xxxxx）</t>
  </si>
  <si>
    <t>7C-10.○○クラス（xxxxx）</t>
  </si>
  <si>
    <t>7C-11.○○クラス（xxxxx）</t>
  </si>
  <si>
    <t>7C-12.○○クラス（xxxxx）</t>
  </si>
  <si>
    <t>7C-13.○○クラス（xxxxx）</t>
  </si>
  <si>
    <t>7C-14.○○クラス（xxxxx）</t>
  </si>
  <si>
    <t>7C-15.○○クラス（xxxxx）</t>
  </si>
  <si>
    <t>7C-16.○○クラス（xxxxx）</t>
  </si>
  <si>
    <t>7C-17.○○クラス（xxxxx）</t>
  </si>
  <si>
    <t>7C-18.○○クラス（xxxxx）</t>
  </si>
  <si>
    <t>7C-19.○○クラス（xxxxx）</t>
  </si>
  <si>
    <t>7C-20.○○クラス（xxxxx）</t>
  </si>
  <si>
    <t>7C-21.○○クラス（xxxxx）</t>
  </si>
  <si>
    <t>7C-22.○○クラス（xxxxx）</t>
  </si>
  <si>
    <t>7C-23.○○クラス（xxxxx）</t>
  </si>
  <si>
    <t>7C-24.○○クラス（xxxxx）</t>
  </si>
  <si>
    <t>7C-25.○○クラス（xxxxx）</t>
  </si>
  <si>
    <t>7C-26.○○クラス（xxxxx）</t>
  </si>
  <si>
    <t>7C-27.○○クラス（xxxxx）</t>
  </si>
  <si>
    <t>7C-28.○○クラス（xxxxx）</t>
  </si>
  <si>
    <t>7C-29.○○クラス（xxxxx）</t>
  </si>
  <si>
    <t>7C-30.○○クラス（xxxxx）</t>
  </si>
  <si>
    <t>7D.各種設計図（ロバストネス図）</t>
    <rPh sb="3" eb="5">
      <t>カクシュ</t>
    </rPh>
    <rPh sb="5" eb="8">
      <t>セッケイズ</t>
    </rPh>
    <rPh sb="15" eb="16">
      <t>ズ</t>
    </rPh>
    <phoneticPr fontId="19"/>
  </si>
  <si>
    <t>7D-01.○○機能</t>
  </si>
  <si>
    <t>7D-02.○○機能</t>
    <rPh sb="8" eb="10">
      <t>キノウ</t>
    </rPh>
    <phoneticPr fontId="19"/>
  </si>
  <si>
    <t>7D-03.○○機能</t>
    <rPh sb="8" eb="10">
      <t>キノウ</t>
    </rPh>
    <phoneticPr fontId="19"/>
  </si>
  <si>
    <t>7D-04.○○機能</t>
    <rPh sb="8" eb="10">
      <t>キノウ</t>
    </rPh>
    <phoneticPr fontId="19"/>
  </si>
  <si>
    <t>7D-05.○○機能</t>
    <rPh sb="8" eb="10">
      <t>キノウ</t>
    </rPh>
    <phoneticPr fontId="19"/>
  </si>
  <si>
    <t>7D-06.○○機能</t>
    <rPh sb="8" eb="10">
      <t>キノウ</t>
    </rPh>
    <phoneticPr fontId="19"/>
  </si>
  <si>
    <t>7D-07.○○機能</t>
    <rPh sb="8" eb="10">
      <t>キノウ</t>
    </rPh>
    <phoneticPr fontId="19"/>
  </si>
  <si>
    <t>7D-08.○○機能</t>
    <rPh sb="8" eb="10">
      <t>キノウ</t>
    </rPh>
    <phoneticPr fontId="19"/>
  </si>
  <si>
    <t>7D-09.○○機能</t>
    <rPh sb="8" eb="10">
      <t>キノウ</t>
    </rPh>
    <phoneticPr fontId="19"/>
  </si>
  <si>
    <t>7D-10.○○機能</t>
    <rPh sb="8" eb="10">
      <t>キノウ</t>
    </rPh>
    <phoneticPr fontId="19"/>
  </si>
  <si>
    <t>7D-11.○○機能</t>
    <rPh sb="8" eb="10">
      <t>キノウ</t>
    </rPh>
    <phoneticPr fontId="19"/>
  </si>
  <si>
    <t>7D-12.○○機能</t>
    <rPh sb="8" eb="10">
      <t>キノウ</t>
    </rPh>
    <phoneticPr fontId="19"/>
  </si>
  <si>
    <t>7D-13.○○機能</t>
    <rPh sb="8" eb="10">
      <t>キノウ</t>
    </rPh>
    <phoneticPr fontId="19"/>
  </si>
  <si>
    <t>7D-14.○○機能</t>
    <rPh sb="8" eb="10">
      <t>キノウ</t>
    </rPh>
    <phoneticPr fontId="19"/>
  </si>
  <si>
    <t>7D-15.○○機能</t>
    <rPh sb="8" eb="10">
      <t>キノウ</t>
    </rPh>
    <phoneticPr fontId="19"/>
  </si>
  <si>
    <t>7D-16.○○機能</t>
    <rPh sb="8" eb="10">
      <t>キノウ</t>
    </rPh>
    <phoneticPr fontId="19"/>
  </si>
  <si>
    <t>7D-17.○○機能</t>
    <rPh sb="8" eb="10">
      <t>キノウ</t>
    </rPh>
    <phoneticPr fontId="19"/>
  </si>
  <si>
    <t>7D-18.○○機能</t>
    <rPh sb="8" eb="10">
      <t>キノウ</t>
    </rPh>
    <phoneticPr fontId="19"/>
  </si>
  <si>
    <t>7D-19.○○機能</t>
    <rPh sb="8" eb="10">
      <t>キノウ</t>
    </rPh>
    <phoneticPr fontId="19"/>
  </si>
  <si>
    <t>7D-20.○○機能</t>
    <rPh sb="8" eb="10">
      <t>キノウ</t>
    </rPh>
    <phoneticPr fontId="19"/>
  </si>
  <si>
    <t>7D-21.○○機能</t>
    <rPh sb="8" eb="10">
      <t>キノウ</t>
    </rPh>
    <phoneticPr fontId="19"/>
  </si>
  <si>
    <t>7D-22.○○機能</t>
    <rPh sb="8" eb="10">
      <t>キノウ</t>
    </rPh>
    <phoneticPr fontId="19"/>
  </si>
  <si>
    <t>7D-23.○○機能</t>
    <rPh sb="8" eb="10">
      <t>キノウ</t>
    </rPh>
    <phoneticPr fontId="19"/>
  </si>
  <si>
    <t>7D-24.○○機能</t>
    <rPh sb="8" eb="10">
      <t>キノウ</t>
    </rPh>
    <phoneticPr fontId="19"/>
  </si>
  <si>
    <t>7D-25.○○機能</t>
    <rPh sb="8" eb="10">
      <t>キノウ</t>
    </rPh>
    <phoneticPr fontId="19"/>
  </si>
  <si>
    <t>7D-26.○○機能</t>
    <rPh sb="8" eb="10">
      <t>キノウ</t>
    </rPh>
    <phoneticPr fontId="19"/>
  </si>
  <si>
    <t>7D-27.○○機能</t>
    <rPh sb="8" eb="10">
      <t>キノウ</t>
    </rPh>
    <phoneticPr fontId="19"/>
  </si>
  <si>
    <t>7D-28.○○機能</t>
    <rPh sb="8" eb="10">
      <t>キノウ</t>
    </rPh>
    <phoneticPr fontId="19"/>
  </si>
  <si>
    <t>7D-29.○○機能</t>
    <rPh sb="8" eb="10">
      <t>キノウ</t>
    </rPh>
    <phoneticPr fontId="19"/>
  </si>
  <si>
    <t>7D-30.○○機能</t>
    <rPh sb="8" eb="10">
      <t>キノウ</t>
    </rPh>
    <phoneticPr fontId="19"/>
  </si>
  <si>
    <t>7E.各種設計図（シーケンス図）</t>
    <rPh sb="3" eb="5">
      <t>カクシュ</t>
    </rPh>
    <rPh sb="5" eb="8">
      <t>セッケイズ</t>
    </rPh>
    <rPh sb="14" eb="15">
      <t>ズ</t>
    </rPh>
    <phoneticPr fontId="19"/>
  </si>
  <si>
    <t>7E-01.○○機能（xxxxx）</t>
    <rPh sb="8" eb="10">
      <t>キノウ</t>
    </rPh>
    <phoneticPr fontId="19"/>
  </si>
  <si>
    <t>7E-02.○○機能（xxxxx）</t>
    <rPh sb="8" eb="10">
      <t>キノウ</t>
    </rPh>
    <phoneticPr fontId="19"/>
  </si>
  <si>
    <t>7E-03.○○機能（xxxxx）</t>
    <rPh sb="8" eb="10">
      <t>キノウ</t>
    </rPh>
    <phoneticPr fontId="19"/>
  </si>
  <si>
    <t>7E-04.○○機能（xxxxx）</t>
    <rPh sb="8" eb="10">
      <t>キノウ</t>
    </rPh>
    <phoneticPr fontId="19"/>
  </si>
  <si>
    <t>7E-05.○○機能（xxxxx）</t>
    <rPh sb="8" eb="10">
      <t>キノウ</t>
    </rPh>
    <phoneticPr fontId="19"/>
  </si>
  <si>
    <t>7E-06.○○機能（xxxxx）</t>
    <rPh sb="8" eb="10">
      <t>キノウ</t>
    </rPh>
    <phoneticPr fontId="19"/>
  </si>
  <si>
    <t>7E-07.○○機能（xxxxx）</t>
    <rPh sb="8" eb="10">
      <t>キノウ</t>
    </rPh>
    <phoneticPr fontId="19"/>
  </si>
  <si>
    <t>7E-08.○○機能（xxxxx）</t>
    <rPh sb="8" eb="10">
      <t>キノウ</t>
    </rPh>
    <phoneticPr fontId="19"/>
  </si>
  <si>
    <t>7E-09.○○機能（xxxxx）</t>
    <rPh sb="8" eb="10">
      <t>キノウ</t>
    </rPh>
    <phoneticPr fontId="19"/>
  </si>
  <si>
    <t>7E-10.○○機能（xxxxx）</t>
    <rPh sb="8" eb="10">
      <t>キノウ</t>
    </rPh>
    <phoneticPr fontId="19"/>
  </si>
  <si>
    <t>7E-11.○○機能（xxxxx）</t>
    <rPh sb="8" eb="10">
      <t>キノウ</t>
    </rPh>
    <phoneticPr fontId="19"/>
  </si>
  <si>
    <t>7E-12.○○機能（xxxxx）</t>
    <rPh sb="8" eb="10">
      <t>キノウ</t>
    </rPh>
    <phoneticPr fontId="19"/>
  </si>
  <si>
    <t>7E-13.○○機能（xxxxx）</t>
    <rPh sb="8" eb="10">
      <t>キノウ</t>
    </rPh>
    <phoneticPr fontId="19"/>
  </si>
  <si>
    <t>7E-14.○○機能（xxxxx）</t>
    <rPh sb="8" eb="10">
      <t>キノウ</t>
    </rPh>
    <phoneticPr fontId="19"/>
  </si>
  <si>
    <t>7E-15.○○機能（xxxxx）</t>
    <rPh sb="8" eb="10">
      <t>キノウ</t>
    </rPh>
    <phoneticPr fontId="19"/>
  </si>
  <si>
    <t>7E-16.○○機能（xxxxx）</t>
    <rPh sb="8" eb="10">
      <t>キノウ</t>
    </rPh>
    <phoneticPr fontId="19"/>
  </si>
  <si>
    <t>7E-17.○○機能（xxxxx）</t>
    <rPh sb="8" eb="10">
      <t>キノウ</t>
    </rPh>
    <phoneticPr fontId="19"/>
  </si>
  <si>
    <t>7E-18.○○機能（xxxxx）</t>
    <rPh sb="8" eb="10">
      <t>キノウ</t>
    </rPh>
    <phoneticPr fontId="19"/>
  </si>
  <si>
    <t>7E-19.○○機能（xxxxx）</t>
    <rPh sb="8" eb="10">
      <t>キノウ</t>
    </rPh>
    <phoneticPr fontId="19"/>
  </si>
  <si>
    <t>7E-20.○○機能（xxxxx）</t>
    <rPh sb="8" eb="10">
      <t>キノウ</t>
    </rPh>
    <phoneticPr fontId="19"/>
  </si>
  <si>
    <t>7E-21.○○機能（xxxxx）</t>
    <rPh sb="8" eb="10">
      <t>キノウ</t>
    </rPh>
    <phoneticPr fontId="19"/>
  </si>
  <si>
    <t>7E-22.○○機能（xxxxx）</t>
    <rPh sb="8" eb="10">
      <t>キノウ</t>
    </rPh>
    <phoneticPr fontId="19"/>
  </si>
  <si>
    <t>7E-23.○○機能（xxxxx）</t>
    <rPh sb="8" eb="10">
      <t>キノウ</t>
    </rPh>
    <phoneticPr fontId="19"/>
  </si>
  <si>
    <t>7E-24.○○機能（xxxxx）</t>
    <rPh sb="8" eb="10">
      <t>キノウ</t>
    </rPh>
    <phoneticPr fontId="19"/>
  </si>
  <si>
    <t>7E-25.○○機能（xxxxx）</t>
    <rPh sb="8" eb="10">
      <t>キノウ</t>
    </rPh>
    <phoneticPr fontId="19"/>
  </si>
  <si>
    <t>7E-26.○○機能（xxxxx）</t>
    <rPh sb="8" eb="10">
      <t>キノウ</t>
    </rPh>
    <phoneticPr fontId="19"/>
  </si>
  <si>
    <t>7E-27.○○機能（xxxxx）</t>
    <rPh sb="8" eb="10">
      <t>キノウ</t>
    </rPh>
    <phoneticPr fontId="19"/>
  </si>
  <si>
    <t>7E-28.○○機能（xxxxx）</t>
    <rPh sb="8" eb="10">
      <t>キノウ</t>
    </rPh>
    <phoneticPr fontId="19"/>
  </si>
  <si>
    <t>7E-29.○○機能（xxxxx）</t>
    <rPh sb="8" eb="10">
      <t>キノウ</t>
    </rPh>
    <phoneticPr fontId="19"/>
  </si>
  <si>
    <t>7E-30.○○機能（xxxxx）</t>
    <rPh sb="8" eb="10">
      <t>キノウ</t>
    </rPh>
    <phoneticPr fontId="19"/>
  </si>
  <si>
    <t>8.プログラミング</t>
    <phoneticPr fontId="19"/>
  </si>
  <si>
    <t>8-01.○○機能（xxxxx）</t>
    <rPh sb="7" eb="9">
      <t>キノウ</t>
    </rPh>
    <phoneticPr fontId="19"/>
  </si>
  <si>
    <t>8-02.○○機能（xxxxx）</t>
    <rPh sb="7" eb="9">
      <t>キノウ</t>
    </rPh>
    <phoneticPr fontId="19"/>
  </si>
  <si>
    <t>8-03.○○機能（xxxxx）</t>
    <rPh sb="7" eb="9">
      <t>キノウ</t>
    </rPh>
    <phoneticPr fontId="19"/>
  </si>
  <si>
    <t>8-04.○○機能（xxxxx）</t>
    <rPh sb="7" eb="9">
      <t>キノウ</t>
    </rPh>
    <phoneticPr fontId="19"/>
  </si>
  <si>
    <t>8-05.○○機能（xxxxx）</t>
    <rPh sb="7" eb="9">
      <t>キノウ</t>
    </rPh>
    <phoneticPr fontId="19"/>
  </si>
  <si>
    <t>8-06.○○機能（xxxxx）</t>
    <rPh sb="7" eb="9">
      <t>キノウ</t>
    </rPh>
    <phoneticPr fontId="19"/>
  </si>
  <si>
    <t>8-07.○○機能（xxxxx）</t>
    <rPh sb="7" eb="9">
      <t>キノウ</t>
    </rPh>
    <phoneticPr fontId="19"/>
  </si>
  <si>
    <t>8-08.○○機能（xxxxx）</t>
    <rPh sb="7" eb="9">
      <t>キノウ</t>
    </rPh>
    <phoneticPr fontId="19"/>
  </si>
  <si>
    <t>8-09.○○機能（xxxxx）</t>
    <rPh sb="7" eb="9">
      <t>キノウ</t>
    </rPh>
    <phoneticPr fontId="19"/>
  </si>
  <si>
    <t>8-10.○○機能（xxxxx）</t>
    <rPh sb="7" eb="9">
      <t>キノウ</t>
    </rPh>
    <phoneticPr fontId="19"/>
  </si>
  <si>
    <t>8-11.○○機能（xxxxx）</t>
    <rPh sb="7" eb="9">
      <t>キノウ</t>
    </rPh>
    <phoneticPr fontId="19"/>
  </si>
  <si>
    <t>8-12.○○機能（xxxxx）</t>
    <rPh sb="7" eb="9">
      <t>キノウ</t>
    </rPh>
    <phoneticPr fontId="19"/>
  </si>
  <si>
    <t>8-13.○○機能（xxxxx）</t>
    <rPh sb="7" eb="9">
      <t>キノウ</t>
    </rPh>
    <phoneticPr fontId="19"/>
  </si>
  <si>
    <t>8-14.○○機能（xxxxx）</t>
    <rPh sb="7" eb="9">
      <t>キノウ</t>
    </rPh>
    <phoneticPr fontId="19"/>
  </si>
  <si>
    <t>8-15.○○機能（xxxxx）</t>
    <rPh sb="7" eb="9">
      <t>キノウ</t>
    </rPh>
    <phoneticPr fontId="19"/>
  </si>
  <si>
    <t>8-16.○○機能（xxxxx）</t>
    <rPh sb="7" eb="9">
      <t>キノウ</t>
    </rPh>
    <phoneticPr fontId="19"/>
  </si>
  <si>
    <t>8-17.○○機能（xxxxx）</t>
    <rPh sb="7" eb="9">
      <t>キノウ</t>
    </rPh>
    <phoneticPr fontId="19"/>
  </si>
  <si>
    <t>8-18.○○機能（xxxxx）</t>
    <rPh sb="7" eb="9">
      <t>キノウ</t>
    </rPh>
    <phoneticPr fontId="19"/>
  </si>
  <si>
    <t>8-19.○○機能（xxxxx）</t>
    <rPh sb="7" eb="9">
      <t>キノウ</t>
    </rPh>
    <phoneticPr fontId="19"/>
  </si>
  <si>
    <t>8-20.○○機能（xxxxx）</t>
    <rPh sb="7" eb="9">
      <t>キノウ</t>
    </rPh>
    <phoneticPr fontId="19"/>
  </si>
  <si>
    <t>8-21.○○機能（xxxxx）</t>
    <rPh sb="7" eb="9">
      <t>キノウ</t>
    </rPh>
    <phoneticPr fontId="19"/>
  </si>
  <si>
    <t>8-22.○○機能（xxxxx）</t>
    <rPh sb="7" eb="9">
      <t>キノウ</t>
    </rPh>
    <phoneticPr fontId="19"/>
  </si>
  <si>
    <t>8-23.○○機能（xxxxx）</t>
    <rPh sb="7" eb="9">
      <t>キノウ</t>
    </rPh>
    <phoneticPr fontId="19"/>
  </si>
  <si>
    <t>8-24.○○機能（xxxxx）</t>
    <rPh sb="7" eb="9">
      <t>キノウ</t>
    </rPh>
    <phoneticPr fontId="19"/>
  </si>
  <si>
    <t>8-25.○○機能（xxxxx）</t>
    <rPh sb="7" eb="9">
      <t>キノウ</t>
    </rPh>
    <phoneticPr fontId="19"/>
  </si>
  <si>
    <t>8-26.○○機能（xxxxx）</t>
    <rPh sb="7" eb="9">
      <t>キノウ</t>
    </rPh>
    <phoneticPr fontId="19"/>
  </si>
  <si>
    <t>8-27.○○機能（xxxxx）</t>
    <rPh sb="7" eb="9">
      <t>キノウ</t>
    </rPh>
    <phoneticPr fontId="19"/>
  </si>
  <si>
    <t>8-28.○○機能（xxxxx）</t>
    <rPh sb="7" eb="9">
      <t>キノウ</t>
    </rPh>
    <phoneticPr fontId="19"/>
  </si>
  <si>
    <t>8-29.○○機能（xxxxx）</t>
    <rPh sb="7" eb="9">
      <t>キノウ</t>
    </rPh>
    <phoneticPr fontId="19"/>
  </si>
  <si>
    <t>8-30.○○機能（xxxxx）</t>
    <rPh sb="7" eb="9">
      <t>キノウ</t>
    </rPh>
    <phoneticPr fontId="19"/>
  </si>
  <si>
    <t>9.各種テスト</t>
    <rPh sb="2" eb="4">
      <t>カクシュ</t>
    </rPh>
    <phoneticPr fontId="19"/>
  </si>
  <si>
    <t>9-01.○○機能（xxxxx）</t>
    <rPh sb="7" eb="9">
      <t>キノウ</t>
    </rPh>
    <phoneticPr fontId="19"/>
  </si>
  <si>
    <t>9-02.○○機能（xxxxx）</t>
    <rPh sb="7" eb="9">
      <t>キノウ</t>
    </rPh>
    <phoneticPr fontId="19"/>
  </si>
  <si>
    <t>9-03.○○機能（xxxxx）</t>
    <rPh sb="7" eb="9">
      <t>キノウ</t>
    </rPh>
    <phoneticPr fontId="19"/>
  </si>
  <si>
    <t>9-04.○○機能（xxxxx）</t>
    <rPh sb="7" eb="9">
      <t>キノウ</t>
    </rPh>
    <phoneticPr fontId="19"/>
  </si>
  <si>
    <t>9-05.○○機能（xxxxx）</t>
    <rPh sb="7" eb="9">
      <t>キノウ</t>
    </rPh>
    <phoneticPr fontId="19"/>
  </si>
  <si>
    <t>9-06.○○機能（xxxxx）</t>
    <rPh sb="7" eb="9">
      <t>キノウ</t>
    </rPh>
    <phoneticPr fontId="19"/>
  </si>
  <si>
    <t>9-07.○○機能（xxxxx）</t>
    <rPh sb="7" eb="9">
      <t>キノウ</t>
    </rPh>
    <phoneticPr fontId="19"/>
  </si>
  <si>
    <t>9-08.○○機能（xxxxx）</t>
    <rPh sb="7" eb="9">
      <t>キノウ</t>
    </rPh>
    <phoneticPr fontId="19"/>
  </si>
  <si>
    <t>9-09.○○機能（xxxxx）</t>
    <rPh sb="7" eb="9">
      <t>キノウ</t>
    </rPh>
    <phoneticPr fontId="19"/>
  </si>
  <si>
    <t>9-10.○○機能（xxxxx）</t>
    <rPh sb="7" eb="9">
      <t>キノウ</t>
    </rPh>
    <phoneticPr fontId="19"/>
  </si>
  <si>
    <t>9-11.○○機能（xxxxx）</t>
    <rPh sb="7" eb="9">
      <t>キノウ</t>
    </rPh>
    <phoneticPr fontId="19"/>
  </si>
  <si>
    <t>9-12.○○機能（xxxxx）</t>
    <rPh sb="7" eb="9">
      <t>キノウ</t>
    </rPh>
    <phoneticPr fontId="19"/>
  </si>
  <si>
    <t>9-13.○○機能（xxxxx）</t>
    <rPh sb="7" eb="9">
      <t>キノウ</t>
    </rPh>
    <phoneticPr fontId="19"/>
  </si>
  <si>
    <t>9-14.○○機能（xxxxx）</t>
    <rPh sb="7" eb="9">
      <t>キノウ</t>
    </rPh>
    <phoneticPr fontId="19"/>
  </si>
  <si>
    <t>9-15.○○機能（xxxxx）</t>
    <rPh sb="7" eb="9">
      <t>キノウ</t>
    </rPh>
    <phoneticPr fontId="19"/>
  </si>
  <si>
    <t>9-16.○○機能（xxxxx）</t>
    <rPh sb="7" eb="9">
      <t>キノウ</t>
    </rPh>
    <phoneticPr fontId="19"/>
  </si>
  <si>
    <t>9-17.○○機能（xxxxx）</t>
    <rPh sb="7" eb="9">
      <t>キノウ</t>
    </rPh>
    <phoneticPr fontId="19"/>
  </si>
  <si>
    <t>9-18.○○機能（xxxxx）</t>
    <rPh sb="7" eb="9">
      <t>キノウ</t>
    </rPh>
    <phoneticPr fontId="19"/>
  </si>
  <si>
    <t>9-19.○○機能（xxxxx）</t>
    <rPh sb="7" eb="9">
      <t>キノウ</t>
    </rPh>
    <phoneticPr fontId="19"/>
  </si>
  <si>
    <t>9-20.○○機能（xxxxx）</t>
    <rPh sb="7" eb="9">
      <t>キノウ</t>
    </rPh>
    <phoneticPr fontId="19"/>
  </si>
  <si>
    <t>9-21.○○機能（xxxxx）</t>
    <rPh sb="7" eb="9">
      <t>キノウ</t>
    </rPh>
    <phoneticPr fontId="19"/>
  </si>
  <si>
    <t>9-22.○○機能（xxxxx）</t>
    <rPh sb="7" eb="9">
      <t>キノウ</t>
    </rPh>
    <phoneticPr fontId="19"/>
  </si>
  <si>
    <t>9-23.○○機能（xxxxx）</t>
    <rPh sb="7" eb="9">
      <t>キノウ</t>
    </rPh>
    <phoneticPr fontId="19"/>
  </si>
  <si>
    <t>9-24.○○機能（xxxxx）</t>
    <rPh sb="7" eb="9">
      <t>キノウ</t>
    </rPh>
    <phoneticPr fontId="19"/>
  </si>
  <si>
    <t>9-25.○○機能（xxxxx）</t>
    <rPh sb="7" eb="9">
      <t>キノウ</t>
    </rPh>
    <phoneticPr fontId="19"/>
  </si>
  <si>
    <t>9-26.○○機能（xxxxx）</t>
    <rPh sb="7" eb="9">
      <t>キノウ</t>
    </rPh>
    <phoneticPr fontId="19"/>
  </si>
  <si>
    <t>9-27.○○機能（xxxxx）</t>
    <rPh sb="7" eb="9">
      <t>キノウ</t>
    </rPh>
    <phoneticPr fontId="19"/>
  </si>
  <si>
    <t>9-28.○○機能（xxxxx）</t>
    <rPh sb="7" eb="9">
      <t>キノウ</t>
    </rPh>
    <phoneticPr fontId="19"/>
  </si>
  <si>
    <t>9-29.○○機能（xxxxx）</t>
    <rPh sb="7" eb="9">
      <t>キノウ</t>
    </rPh>
    <phoneticPr fontId="19"/>
  </si>
  <si>
    <t>9-30.○○機能（xxxxx）</t>
    <rPh sb="7" eb="9">
      <t>キノウ</t>
    </rPh>
    <phoneticPr fontId="19"/>
  </si>
  <si>
    <t>10.発表準備</t>
    <rPh sb="3" eb="7">
      <t>ハッピョウジュンビ</t>
    </rPh>
    <phoneticPr fontId="19"/>
  </si>
  <si>
    <t>進捗発表準備</t>
    <rPh sb="0" eb="2">
      <t>シンチョク</t>
    </rPh>
    <rPh sb="2" eb="4">
      <t>ハッピョウ</t>
    </rPh>
    <rPh sb="4" eb="6">
      <t>ジュンビ</t>
    </rPh>
    <phoneticPr fontId="19"/>
  </si>
  <si>
    <t>進捗発表</t>
    <rPh sb="0" eb="2">
      <t>シンチョク</t>
    </rPh>
    <rPh sb="2" eb="4">
      <t>ハッピョウ</t>
    </rPh>
    <phoneticPr fontId="19"/>
  </si>
  <si>
    <t>内部発表準備</t>
    <rPh sb="0" eb="4">
      <t>ナイブハッピョウ</t>
    </rPh>
    <rPh sb="4" eb="6">
      <t>ジュンビ</t>
    </rPh>
    <phoneticPr fontId="19"/>
  </si>
  <si>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</si>
  <si>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</si>
  <si>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</si>
  <si>
    <t>sotsuken</t>
    <phoneticPr fontId="19"/>
  </si>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</sst>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 numFmtId="181" formatCode="yyyy/mm/dd"/>
    <numFmt numFmtId="182" formatCode="yyyy/m/d\ aaa"/>
  </numFmts>
  <fonts count="47">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u/>
      <sz val="11"/>
      <color theme="10"/>
      <name val="Meiryo UI"/>
      <family val="2"/>
    </font>
    <font>
      <sz val="11"/>
      <color theme="0"/>
      <name val="UD デジタル 教科書体 NK"/>
      <family val="1"/>
      <charset val="128"/>
    </font>
    <font>
      <b/>
      <sz val="20"/>
      <color theme="4" tint="-0.249977111117893"/>
      <name val="UD デジタル 教科書体 NK"/>
      <family val="1"/>
      <charset val="128"/>
    </font>
    <font>
      <sz val="10"/>
      <name val="UD デジタル 教科書体 NK"/>
      <family val="1"/>
      <charset val="128"/>
    </font>
    <font>
      <sz val="11"/>
      <color theme="1"/>
      <name val="UD デジタル 教科書体 NK"/>
      <family val="1"/>
      <charset val="128"/>
    </font>
    <font>
      <b/>
      <sz val="11"/>
      <name val="UD デジタル 教科書体 NK"/>
      <family val="1"/>
      <charset val="128"/>
    </font>
    <font>
      <sz val="14"/>
      <color theme="1"/>
      <name val="UD デジタル 教科書体 NK"/>
      <family val="1"/>
      <charset val="128"/>
    </font>
    <font>
      <sz val="9"/>
      <name val="UD デジタル 教科書体 NK"/>
      <family val="1"/>
      <charset val="128"/>
    </font>
    <font>
      <b/>
      <sz val="11"/>
      <color theme="1"/>
      <name val="UD デジタル 教科書体 NK"/>
      <family val="1"/>
      <charset val="128"/>
    </font>
    <font>
      <sz val="11"/>
      <name val="UD デジタル 教科書体 NK"/>
      <family val="1"/>
      <charset val="128"/>
    </font>
    <font>
      <i/>
      <sz val="9"/>
      <color theme="1"/>
      <name val="UD デジタル 教科書体 NK"/>
      <family val="1"/>
      <charset val="128"/>
    </font>
    <font>
      <sz val="10"/>
      <color theme="1" tint="0.499984740745262"/>
      <name val="UD デジタル 教科書体 NK"/>
      <family val="1"/>
      <charset val="128"/>
    </font>
    <font>
      <b/>
      <sz val="11"/>
      <color theme="1" tint="0.499984740745262"/>
      <name val="UD デジタル 教科書体 NK"/>
      <family val="1"/>
      <charset val="128"/>
    </font>
    <font>
      <b/>
      <sz val="22"/>
      <color rgb="FF333333"/>
      <name val="UD デジタル 教科書体 NK"/>
      <family val="1"/>
      <charset val="128"/>
    </font>
    <font>
      <sz val="14"/>
      <color rgb="FF333333"/>
      <name val="UD デジタル 教科書体 NK"/>
      <family val="1"/>
      <charset val="128"/>
    </font>
    <font>
      <b/>
      <sz val="10"/>
      <color theme="0"/>
      <name val="UD デジタル 教科書体 NK"/>
      <family val="1"/>
      <charset val="128"/>
    </font>
    <font>
      <sz val="10"/>
      <color theme="0"/>
      <name val="UD デジタル 教科書体 NK"/>
      <family val="1"/>
      <charset val="128"/>
    </font>
  </fonts>
  <fills count="5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6E3F1"/>
        <bgColor indexed="64"/>
      </patternFill>
    </fill>
    <fill>
      <patternFill patternType="solid">
        <fgColor rgb="FFF8E8E6"/>
        <bgColor indexed="64"/>
      </patternFill>
    </fill>
    <fill>
      <patternFill patternType="solid">
        <fgColor rgb="FFE3F3EB"/>
        <bgColor indexed="64"/>
      </patternFill>
    </fill>
    <fill>
      <patternFill patternType="solid">
        <fgColor rgb="FFFFF9D9"/>
        <bgColor indexed="64"/>
      </patternFill>
    </fill>
    <fill>
      <patternFill patternType="solid">
        <fgColor rgb="FFFCE7D3"/>
        <bgColor indexed="64"/>
      </patternFill>
    </fill>
    <fill>
      <patternFill patternType="solid">
        <fgColor rgb="FFE8DEF7"/>
        <bgColor indexed="64"/>
      </patternFill>
    </fill>
    <fill>
      <patternFill patternType="solid">
        <fgColor rgb="FFE4FAF5"/>
        <bgColor indexed="64"/>
      </patternFill>
    </fill>
    <fill>
      <patternFill patternType="solid">
        <fgColor rgb="FFFBE3E2"/>
        <bgColor indexed="64"/>
      </patternFill>
    </fill>
    <fill>
      <patternFill patternType="solid">
        <fgColor rgb="FFF4EDE1"/>
        <bgColor indexed="64"/>
      </patternFill>
    </fill>
    <fill>
      <patternFill patternType="solid">
        <fgColor rgb="FFA2B4C5"/>
        <bgColor indexed="64"/>
      </patternFill>
    </fill>
    <fill>
      <patternFill patternType="solid">
        <fgColor rgb="FFD8C1BE"/>
        <bgColor indexed="64"/>
      </patternFill>
    </fill>
    <fill>
      <patternFill patternType="solid">
        <fgColor rgb="FFB5CCBF"/>
        <bgColor indexed="64"/>
      </patternFill>
    </fill>
    <fill>
      <patternFill patternType="solid">
        <fgColor rgb="FFD8CC9F"/>
        <bgColor indexed="64"/>
      </patternFill>
    </fill>
    <fill>
      <patternFill patternType="solid">
        <fgColor rgb="FFD3B7A1"/>
        <bgColor indexed="64"/>
      </patternFill>
    </fill>
    <fill>
      <patternFill patternType="solid">
        <fgColor rgb="FFB9AFCF"/>
        <bgColor indexed="64"/>
      </patternFill>
    </fill>
    <fill>
      <patternFill patternType="solid">
        <fgColor rgb="FFB4D1CC"/>
        <bgColor indexed="64"/>
      </patternFill>
    </fill>
    <fill>
      <patternFill patternType="solid">
        <fgColor rgb="FFD3B5B3"/>
        <bgColor indexed="64"/>
      </patternFill>
    </fill>
    <fill>
      <patternFill patternType="solid">
        <fgColor rgb="FFC6BBAA"/>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5">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6" borderId="0" applyNumberFormat="0" applyBorder="0" applyAlignment="0" applyProtection="0"/>
    <xf numFmtId="0" fontId="3" fillId="7" borderId="0" applyNumberFormat="0" applyBorder="0" applyAlignment="0" applyProtection="0"/>
    <xf numFmtId="0" fontId="14" fillId="8" borderId="0" applyNumberFormat="0" applyBorder="0" applyAlignment="0" applyProtection="0"/>
    <xf numFmtId="0" fontId="12" fillId="9" borderId="11" applyNumberFormat="0" applyAlignment="0" applyProtection="0"/>
    <xf numFmtId="0" fontId="15" fillId="10" borderId="12" applyNumberFormat="0" applyAlignment="0" applyProtection="0"/>
    <xf numFmtId="0" fontId="4" fillId="10" borderId="11" applyNumberFormat="0" applyAlignment="0" applyProtection="0"/>
    <xf numFmtId="0" fontId="13" fillId="0" borderId="13" applyNumberFormat="0" applyFill="0" applyAlignment="0" applyProtection="0"/>
    <xf numFmtId="0" fontId="5" fillId="11" borderId="14" applyNumberFormat="0" applyAlignment="0" applyProtection="0"/>
    <xf numFmtId="0" fontId="18" fillId="0" borderId="0" applyNumberFormat="0" applyFill="0" applyBorder="0" applyAlignment="0" applyProtection="0"/>
    <xf numFmtId="0" fontId="1" fillId="12"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0" fillId="0" borderId="0" applyNumberFormat="0" applyFill="0" applyBorder="0" applyAlignment="0" applyProtection="0"/>
  </cellStyleXfs>
  <cellXfs count="145">
    <xf numFmtId="0" fontId="0" fillId="0" borderId="0" xfId="0"/>
    <xf numFmtId="0" fontId="20" fillId="0" borderId="0" xfId="0" applyFont="1" applyAlignment="1">
      <alignment vertical="top"/>
    </xf>
    <xf numFmtId="0" fontId="20" fillId="0" borderId="0" xfId="0" applyFont="1"/>
    <xf numFmtId="0" fontId="21" fillId="0" borderId="0" xfId="0" applyFont="1" applyAlignment="1">
      <alignment horizontal="left" vertical="center"/>
    </xf>
    <xf numFmtId="0" fontId="22" fillId="0" borderId="0" xfId="0" applyFont="1" applyAlignment="1">
      <alignment horizontal="left" vertical="center"/>
    </xf>
    <xf numFmtId="0" fontId="23" fillId="0" borderId="0" xfId="0" applyFont="1" applyAlignment="1">
      <alignment vertical="top"/>
    </xf>
    <xf numFmtId="0" fontId="24" fillId="0" borderId="0" xfId="0" applyFont="1" applyAlignment="1">
      <alignment vertical="top"/>
    </xf>
    <xf numFmtId="0" fontId="20" fillId="0" borderId="0" xfId="0" applyFont="1" applyAlignment="1">
      <alignment horizontal="left" vertical="top"/>
    </xf>
    <xf numFmtId="0" fontId="25" fillId="0" borderId="0" xfId="0" applyFont="1" applyAlignment="1">
      <alignment vertical="center"/>
    </xf>
    <xf numFmtId="0" fontId="26" fillId="0" borderId="0" xfId="0" applyFont="1"/>
    <xf numFmtId="0" fontId="27" fillId="0" borderId="0" xfId="0" applyFont="1" applyAlignment="1">
      <alignment horizontal="left" vertical="top" wrapText="1" indent="1"/>
    </xf>
    <xf numFmtId="0" fontId="28" fillId="0" borderId="0" xfId="0" applyFont="1" applyAlignment="1">
      <alignment vertical="top" wrapText="1"/>
    </xf>
    <xf numFmtId="0" fontId="29" fillId="0" borderId="0" xfId="1" applyFont="1" applyAlignment="1" applyProtection="1">
      <alignment horizontal="left" vertical="top"/>
    </xf>
    <xf numFmtId="0" fontId="31" fillId="0" borderId="0" xfId="3" applyFont="1" applyAlignment="1">
      <alignment wrapText="1"/>
    </xf>
    <xf numFmtId="0" fontId="32" fillId="0" borderId="0" xfId="0" applyFont="1" applyAlignment="1">
      <alignment horizontal="left"/>
    </xf>
    <xf numFmtId="0" fontId="33" fillId="0" borderId="0" xfId="0" applyFont="1"/>
    <xf numFmtId="0" fontId="33" fillId="0" borderId="0" xfId="0" applyFont="1" applyAlignment="1">
      <alignment horizontal="center"/>
    </xf>
    <xf numFmtId="0" fontId="33" fillId="0" borderId="0" xfId="0" applyFont="1" applyAlignment="1">
      <alignment horizontal="center" vertical="center"/>
    </xf>
    <xf numFmtId="0" fontId="34" fillId="0" borderId="0" xfId="0" applyFont="1"/>
    <xf numFmtId="0" fontId="35" fillId="0" borderId="0" xfId="0" applyFont="1"/>
    <xf numFmtId="0" fontId="31" fillId="0" borderId="0" xfId="3" applyFont="1"/>
    <xf numFmtId="0" fontId="34" fillId="0" borderId="0" xfId="0" applyFont="1" applyAlignment="1">
      <alignment horizontal="center"/>
    </xf>
    <xf numFmtId="0" fontId="33" fillId="0" borderId="0" xfId="1" applyFont="1" applyProtection="1">
      <alignment vertical="top"/>
    </xf>
    <xf numFmtId="0" fontId="36" fillId="0" borderId="0" xfId="7" applyFont="1">
      <alignment vertical="top"/>
    </xf>
    <xf numFmtId="0" fontId="34" fillId="0" borderId="3" xfId="0" applyFont="1" applyBorder="1" applyAlignment="1">
      <alignment horizontal="center" vertical="center"/>
    </xf>
    <xf numFmtId="0" fontId="34" fillId="0" borderId="10" xfId="0" applyFont="1" applyBorder="1"/>
    <xf numFmtId="180" fontId="37" fillId="3" borderId="6" xfId="0" applyNumberFormat="1" applyFont="1" applyFill="1" applyBorder="1" applyAlignment="1">
      <alignment horizontal="center" vertical="center"/>
    </xf>
    <xf numFmtId="180" fontId="37" fillId="3" borderId="0" xfId="0" applyNumberFormat="1" applyFont="1" applyFill="1" applyAlignment="1">
      <alignment horizontal="center" vertical="center"/>
    </xf>
    <xf numFmtId="180" fontId="37" fillId="3" borderId="7" xfId="0" applyNumberFormat="1" applyFont="1" applyFill="1" applyBorder="1" applyAlignment="1">
      <alignment horizontal="center" vertical="center"/>
    </xf>
    <xf numFmtId="0" fontId="34" fillId="0" borderId="0" xfId="0" applyFont="1" applyAlignment="1">
      <alignment wrapText="1"/>
    </xf>
    <xf numFmtId="0" fontId="34" fillId="0" borderId="9" xfId="0" applyFont="1" applyBorder="1" applyAlignment="1">
      <alignment vertical="center"/>
    </xf>
    <xf numFmtId="0" fontId="38" fillId="46" borderId="2" xfId="0" applyFont="1" applyFill="1" applyBorder="1" applyAlignment="1">
      <alignment horizontal="left" vertical="center" indent="1"/>
    </xf>
    <xf numFmtId="0" fontId="34" fillId="46" borderId="2" xfId="11" applyFont="1" applyFill="1">
      <alignment horizontal="center" vertical="center"/>
    </xf>
    <xf numFmtId="9" fontId="39" fillId="46" borderId="2" xfId="2" applyFont="1" applyFill="1" applyBorder="1" applyAlignment="1">
      <alignment horizontal="center" vertical="center"/>
    </xf>
    <xf numFmtId="178" fontId="34" fillId="46" borderId="2" xfId="0" applyNumberFormat="1" applyFont="1" applyFill="1" applyBorder="1" applyAlignment="1">
      <alignment horizontal="center" vertical="center"/>
    </xf>
    <xf numFmtId="178" fontId="39" fillId="46" borderId="2" xfId="0" applyNumberFormat="1" applyFont="1" applyFill="1" applyBorder="1" applyAlignment="1">
      <alignment horizontal="center" vertical="center"/>
    </xf>
    <xf numFmtId="0" fontId="39" fillId="0" borderId="2" xfId="0" applyFont="1" applyBorder="1" applyAlignment="1">
      <alignment horizontal="center" vertical="center"/>
    </xf>
    <xf numFmtId="0" fontId="34" fillId="0" borderId="0" xfId="0" applyFont="1" applyAlignment="1">
      <alignment vertical="center"/>
    </xf>
    <xf numFmtId="0" fontId="34" fillId="37" borderId="2" xfId="12" applyFont="1" applyFill="1">
      <alignment horizontal="left" vertical="center" indent="2"/>
    </xf>
    <xf numFmtId="0" fontId="34" fillId="37" borderId="2" xfId="11" applyFont="1" applyFill="1">
      <alignment horizontal="center" vertical="center"/>
    </xf>
    <xf numFmtId="9" fontId="39" fillId="37" borderId="2" xfId="2" applyFont="1" applyFill="1" applyBorder="1" applyAlignment="1">
      <alignment horizontal="center" vertical="center"/>
    </xf>
    <xf numFmtId="181" fontId="34" fillId="37" borderId="2" xfId="10" applyNumberFormat="1" applyFont="1" applyFill="1">
      <alignment horizontal="center" vertical="center"/>
    </xf>
    <xf numFmtId="0" fontId="34" fillId="0" borderId="9" xfId="0" applyFont="1" applyBorder="1" applyAlignment="1">
      <alignment horizontal="right" vertical="center"/>
    </xf>
    <xf numFmtId="0" fontId="34" fillId="37" borderId="2" xfId="11" quotePrefix="1" applyFont="1" applyFill="1">
      <alignment horizontal="center" vertical="center"/>
    </xf>
    <xf numFmtId="0" fontId="38" fillId="47" borderId="2" xfId="0" applyFont="1" applyFill="1" applyBorder="1" applyAlignment="1">
      <alignment horizontal="left" vertical="center" indent="1"/>
    </xf>
    <xf numFmtId="0" fontId="34" fillId="47" borderId="2" xfId="11" applyFont="1" applyFill="1">
      <alignment horizontal="center" vertical="center"/>
    </xf>
    <xf numFmtId="9" fontId="39" fillId="47" borderId="2" xfId="2" applyFont="1" applyFill="1" applyBorder="1" applyAlignment="1">
      <alignment horizontal="center" vertical="center"/>
    </xf>
    <xf numFmtId="181" fontId="34" fillId="47" borderId="2" xfId="0" applyNumberFormat="1" applyFont="1" applyFill="1" applyBorder="1" applyAlignment="1">
      <alignment horizontal="center" vertical="center"/>
    </xf>
    <xf numFmtId="181" fontId="39" fillId="47" borderId="2" xfId="0" applyNumberFormat="1" applyFont="1" applyFill="1" applyBorder="1" applyAlignment="1">
      <alignment horizontal="center" vertical="center"/>
    </xf>
    <xf numFmtId="0" fontId="34" fillId="38" borderId="2" xfId="12" applyFont="1" applyFill="1">
      <alignment horizontal="left" vertical="center" indent="2"/>
    </xf>
    <xf numFmtId="0" fontId="34" fillId="38" borderId="2" xfId="11" applyFont="1" applyFill="1">
      <alignment horizontal="center" vertical="center"/>
    </xf>
    <xf numFmtId="9" fontId="39" fillId="38" borderId="2" xfId="2" applyFont="1" applyFill="1" applyBorder="1" applyAlignment="1">
      <alignment horizontal="center" vertical="center"/>
    </xf>
    <xf numFmtId="181" fontId="34" fillId="38" borderId="2" xfId="10" applyNumberFormat="1" applyFont="1" applyFill="1">
      <alignment horizontal="center" vertical="center"/>
    </xf>
    <xf numFmtId="0" fontId="38" fillId="48" borderId="2" xfId="0" applyFont="1" applyFill="1" applyBorder="1" applyAlignment="1">
      <alignment horizontal="left" vertical="center" indent="1"/>
    </xf>
    <xf numFmtId="0" fontId="34" fillId="48" borderId="2" xfId="11" applyFont="1" applyFill="1">
      <alignment horizontal="center" vertical="center"/>
    </xf>
    <xf numFmtId="9" fontId="39" fillId="48" borderId="2" xfId="2" applyFont="1" applyFill="1" applyBorder="1" applyAlignment="1">
      <alignment horizontal="center" vertical="center"/>
    </xf>
    <xf numFmtId="181" fontId="34" fillId="48" borderId="2" xfId="0" applyNumberFormat="1" applyFont="1" applyFill="1" applyBorder="1" applyAlignment="1">
      <alignment horizontal="center" vertical="center"/>
    </xf>
    <xf numFmtId="181" fontId="39" fillId="48" borderId="2" xfId="0" applyNumberFormat="1" applyFont="1" applyFill="1" applyBorder="1" applyAlignment="1">
      <alignment horizontal="center" vertical="center"/>
    </xf>
    <xf numFmtId="0" fontId="34" fillId="39" borderId="2" xfId="12" applyFont="1" applyFill="1">
      <alignment horizontal="left" vertical="center" indent="2"/>
    </xf>
    <xf numFmtId="0" fontId="34" fillId="39" borderId="2" xfId="11" applyFont="1" applyFill="1">
      <alignment horizontal="center" vertical="center"/>
    </xf>
    <xf numFmtId="9" fontId="39" fillId="39" borderId="2" xfId="2" applyFont="1" applyFill="1" applyBorder="1" applyAlignment="1">
      <alignment horizontal="center" vertical="center"/>
    </xf>
    <xf numFmtId="181" fontId="34" fillId="39" borderId="2" xfId="10" applyNumberFormat="1" applyFont="1" applyFill="1">
      <alignment horizontal="center" vertical="center"/>
    </xf>
    <xf numFmtId="0" fontId="38" fillId="49" borderId="2" xfId="0" applyFont="1" applyFill="1" applyBorder="1" applyAlignment="1">
      <alignment horizontal="left" vertical="center" indent="1"/>
    </xf>
    <xf numFmtId="0" fontId="34" fillId="49" borderId="2" xfId="11" applyFont="1" applyFill="1">
      <alignment horizontal="center" vertical="center"/>
    </xf>
    <xf numFmtId="9" fontId="39" fillId="49" borderId="2" xfId="2" applyFont="1" applyFill="1" applyBorder="1" applyAlignment="1">
      <alignment horizontal="center" vertical="center"/>
    </xf>
    <xf numFmtId="181" fontId="34" fillId="49" borderId="2" xfId="0" applyNumberFormat="1" applyFont="1" applyFill="1" applyBorder="1" applyAlignment="1">
      <alignment horizontal="center" vertical="center"/>
    </xf>
    <xf numFmtId="181" fontId="39" fillId="49" borderId="2" xfId="0" applyNumberFormat="1" applyFont="1" applyFill="1" applyBorder="1" applyAlignment="1">
      <alignment horizontal="center" vertical="center"/>
    </xf>
    <xf numFmtId="0" fontId="34" fillId="40" borderId="2" xfId="12" applyFont="1" applyFill="1">
      <alignment horizontal="left" vertical="center" indent="2"/>
    </xf>
    <xf numFmtId="0" fontId="34" fillId="40" borderId="2" xfId="11" applyFont="1" applyFill="1">
      <alignment horizontal="center" vertical="center"/>
    </xf>
    <xf numFmtId="9" fontId="39" fillId="40" borderId="2" xfId="2" applyFont="1" applyFill="1" applyBorder="1" applyAlignment="1">
      <alignment horizontal="center" vertical="center"/>
    </xf>
    <xf numFmtId="181" fontId="34" fillId="40" borderId="2" xfId="10" applyNumberFormat="1" applyFont="1" applyFill="1">
      <alignment horizontal="center" vertical="center"/>
    </xf>
    <xf numFmtId="0" fontId="38" fillId="50" borderId="2" xfId="0" applyFont="1" applyFill="1" applyBorder="1" applyAlignment="1">
      <alignment horizontal="left" vertical="center" indent="1"/>
    </xf>
    <xf numFmtId="0" fontId="34" fillId="50" borderId="2" xfId="11" applyFont="1" applyFill="1">
      <alignment horizontal="center" vertical="center"/>
    </xf>
    <xf numFmtId="9" fontId="39" fillId="50" borderId="2" xfId="2" applyFont="1" applyFill="1" applyBorder="1" applyAlignment="1">
      <alignment horizontal="center" vertical="center"/>
    </xf>
    <xf numFmtId="181" fontId="34" fillId="50" borderId="2" xfId="0" applyNumberFormat="1" applyFont="1" applyFill="1" applyBorder="1" applyAlignment="1">
      <alignment horizontal="center" vertical="center"/>
    </xf>
    <xf numFmtId="181" fontId="39" fillId="50" borderId="2" xfId="0" applyNumberFormat="1" applyFont="1" applyFill="1" applyBorder="1" applyAlignment="1">
      <alignment horizontal="center" vertical="center"/>
    </xf>
    <xf numFmtId="0" fontId="34" fillId="41" borderId="2" xfId="12" applyFont="1" applyFill="1">
      <alignment horizontal="left" vertical="center" indent="2"/>
    </xf>
    <xf numFmtId="0" fontId="34" fillId="41" borderId="2" xfId="11" applyFont="1" applyFill="1">
      <alignment horizontal="center" vertical="center"/>
    </xf>
    <xf numFmtId="9" fontId="39" fillId="41" borderId="2" xfId="2" applyFont="1" applyFill="1" applyBorder="1" applyAlignment="1">
      <alignment horizontal="center" vertical="center"/>
    </xf>
    <xf numFmtId="181" fontId="34" fillId="41" borderId="2" xfId="10" applyNumberFormat="1" applyFont="1" applyFill="1">
      <alignment horizontal="center" vertical="center"/>
    </xf>
    <xf numFmtId="0" fontId="38" fillId="51" borderId="2" xfId="0" applyFont="1" applyFill="1" applyBorder="1" applyAlignment="1">
      <alignment horizontal="left" vertical="center" indent="1"/>
    </xf>
    <xf numFmtId="0" fontId="34" fillId="51" borderId="2" xfId="11" applyFont="1" applyFill="1">
      <alignment horizontal="center" vertical="center"/>
    </xf>
    <xf numFmtId="9" fontId="39" fillId="51" borderId="2" xfId="2" applyFont="1" applyFill="1" applyBorder="1" applyAlignment="1">
      <alignment horizontal="center" vertical="center"/>
    </xf>
    <xf numFmtId="181" fontId="34" fillId="51" borderId="2" xfId="0" applyNumberFormat="1" applyFont="1" applyFill="1" applyBorder="1" applyAlignment="1">
      <alignment horizontal="center" vertical="center"/>
    </xf>
    <xf numFmtId="181" fontId="39" fillId="51" borderId="2" xfId="0" applyNumberFormat="1" applyFont="1" applyFill="1" applyBorder="1" applyAlignment="1">
      <alignment horizontal="center" vertical="center"/>
    </xf>
    <xf numFmtId="0" fontId="34" fillId="42" borderId="2" xfId="12" applyFont="1" applyFill="1">
      <alignment horizontal="left" vertical="center" indent="2"/>
    </xf>
    <xf numFmtId="0" fontId="34" fillId="42" borderId="2" xfId="11" applyFont="1" applyFill="1">
      <alignment horizontal="center" vertical="center"/>
    </xf>
    <xf numFmtId="9" fontId="39" fillId="42" borderId="2" xfId="2" applyFont="1" applyFill="1" applyBorder="1" applyAlignment="1">
      <alignment horizontal="center" vertical="center"/>
    </xf>
    <xf numFmtId="181" fontId="34" fillId="42" borderId="2" xfId="10" applyNumberFormat="1" applyFont="1" applyFill="1">
      <alignment horizontal="center" vertical="center"/>
    </xf>
    <xf numFmtId="0" fontId="38" fillId="52" borderId="2" xfId="0" applyFont="1" applyFill="1" applyBorder="1" applyAlignment="1">
      <alignment horizontal="left" vertical="center" indent="1"/>
    </xf>
    <xf numFmtId="0" fontId="34" fillId="52" borderId="2" xfId="11" applyFont="1" applyFill="1">
      <alignment horizontal="center" vertical="center"/>
    </xf>
    <xf numFmtId="9" fontId="39" fillId="52" borderId="2" xfId="2" applyFont="1" applyFill="1" applyBorder="1" applyAlignment="1">
      <alignment horizontal="center" vertical="center"/>
    </xf>
    <xf numFmtId="181" fontId="34" fillId="52" borderId="2" xfId="0" applyNumberFormat="1" applyFont="1" applyFill="1" applyBorder="1" applyAlignment="1">
      <alignment horizontal="center" vertical="center"/>
    </xf>
    <xf numFmtId="181" fontId="39" fillId="52" borderId="2" xfId="0" applyNumberFormat="1" applyFont="1" applyFill="1" applyBorder="1" applyAlignment="1">
      <alignment horizontal="center" vertical="center"/>
    </xf>
    <xf numFmtId="0" fontId="34" fillId="43" borderId="2" xfId="12" applyFont="1" applyFill="1">
      <alignment horizontal="left" vertical="center" indent="2"/>
    </xf>
    <xf numFmtId="0" fontId="34" fillId="43" borderId="2" xfId="11" applyFont="1" applyFill="1">
      <alignment horizontal="center" vertical="center"/>
    </xf>
    <xf numFmtId="9" fontId="39" fillId="43" borderId="2" xfId="2" applyFont="1" applyFill="1" applyBorder="1" applyAlignment="1">
      <alignment horizontal="center" vertical="center"/>
    </xf>
    <xf numFmtId="181" fontId="34" fillId="43" borderId="2" xfId="10" applyNumberFormat="1" applyFont="1" applyFill="1">
      <alignment horizontal="center" vertical="center"/>
    </xf>
    <xf numFmtId="0" fontId="38" fillId="53" borderId="2" xfId="0" applyFont="1" applyFill="1" applyBorder="1" applyAlignment="1">
      <alignment horizontal="left" vertical="center" indent="1"/>
    </xf>
    <xf numFmtId="0" fontId="34" fillId="53" borderId="2" xfId="11" applyFont="1" applyFill="1">
      <alignment horizontal="center" vertical="center"/>
    </xf>
    <xf numFmtId="9" fontId="39" fillId="53" borderId="2" xfId="2" applyFont="1" applyFill="1" applyBorder="1" applyAlignment="1">
      <alignment horizontal="center" vertical="center"/>
    </xf>
    <xf numFmtId="181" fontId="34" fillId="53" borderId="2" xfId="0" applyNumberFormat="1" applyFont="1" applyFill="1" applyBorder="1" applyAlignment="1">
      <alignment horizontal="center" vertical="center"/>
    </xf>
    <xf numFmtId="181" fontId="39" fillId="53" borderId="2" xfId="0" applyNumberFormat="1" applyFont="1" applyFill="1" applyBorder="1" applyAlignment="1">
      <alignment horizontal="center" vertical="center"/>
    </xf>
    <xf numFmtId="0" fontId="34" fillId="44" borderId="2" xfId="12" applyFont="1" applyFill="1">
      <alignment horizontal="left" vertical="center" indent="2"/>
    </xf>
    <xf numFmtId="0" fontId="34" fillId="44" borderId="2" xfId="11" applyFont="1" applyFill="1">
      <alignment horizontal="center" vertical="center"/>
    </xf>
    <xf numFmtId="9" fontId="39" fillId="44" borderId="2" xfId="2" applyFont="1" applyFill="1" applyBorder="1" applyAlignment="1">
      <alignment horizontal="center" vertical="center"/>
    </xf>
    <xf numFmtId="181" fontId="34" fillId="44" borderId="2" xfId="10" applyNumberFormat="1" applyFont="1" applyFill="1">
      <alignment horizontal="center" vertical="center"/>
    </xf>
    <xf numFmtId="0" fontId="38" fillId="54" borderId="2" xfId="0" applyFont="1" applyFill="1" applyBorder="1" applyAlignment="1">
      <alignment horizontal="left" vertical="center" indent="1"/>
    </xf>
    <xf numFmtId="0" fontId="34" fillId="54" borderId="2" xfId="11" applyFont="1" applyFill="1">
      <alignment horizontal="center" vertical="center"/>
    </xf>
    <xf numFmtId="9" fontId="39" fillId="54" borderId="2" xfId="2" applyFont="1" applyFill="1" applyBorder="1" applyAlignment="1">
      <alignment horizontal="center" vertical="center"/>
    </xf>
    <xf numFmtId="181" fontId="34" fillId="54" borderId="2" xfId="0" applyNumberFormat="1" applyFont="1" applyFill="1" applyBorder="1" applyAlignment="1">
      <alignment horizontal="center" vertical="center"/>
    </xf>
    <xf numFmtId="181" fontId="39" fillId="54" borderId="2" xfId="0" applyNumberFormat="1" applyFont="1" applyFill="1" applyBorder="1" applyAlignment="1">
      <alignment horizontal="center" vertical="center"/>
    </xf>
    <xf numFmtId="0" fontId="34" fillId="45" borderId="2" xfId="12" applyFont="1" applyFill="1">
      <alignment horizontal="left" vertical="center" indent="2"/>
    </xf>
    <xf numFmtId="0" fontId="34" fillId="45" borderId="2" xfId="11" applyFont="1" applyFill="1">
      <alignment horizontal="center" vertical="center"/>
    </xf>
    <xf numFmtId="9" fontId="39" fillId="45" borderId="2" xfId="2" applyFont="1" applyFill="1" applyBorder="1" applyAlignment="1">
      <alignment horizontal="center" vertical="center"/>
    </xf>
    <xf numFmtId="181" fontId="34" fillId="45" borderId="2" xfId="10" applyNumberFormat="1" applyFont="1" applyFill="1">
      <alignment horizontal="center" vertical="center"/>
    </xf>
    <xf numFmtId="0" fontId="34" fillId="0" borderId="2" xfId="12" applyFont="1">
      <alignment horizontal="left" vertical="center" indent="2"/>
    </xf>
    <xf numFmtId="0" fontId="34" fillId="0" borderId="2" xfId="11" applyFont="1">
      <alignment horizontal="center" vertical="center"/>
    </xf>
    <xf numFmtId="9" fontId="39" fillId="0" borderId="2" xfId="2" applyFont="1" applyBorder="1" applyAlignment="1">
      <alignment horizontal="center" vertical="center"/>
    </xf>
    <xf numFmtId="178" fontId="34" fillId="0" borderId="2" xfId="10" applyFont="1">
      <alignment horizontal="center" vertical="center"/>
    </xf>
    <xf numFmtId="0" fontId="40" fillId="2" borderId="2" xfId="0" applyFont="1" applyFill="1" applyBorder="1" applyAlignment="1">
      <alignment horizontal="left" vertical="center" indent="1"/>
    </xf>
    <xf numFmtId="0" fontId="40" fillId="2" borderId="2" xfId="0" applyFont="1" applyFill="1" applyBorder="1" applyAlignment="1">
      <alignment horizontal="center" vertical="center"/>
    </xf>
    <xf numFmtId="9" fontId="39" fillId="2" borderId="2" xfId="2" applyFont="1" applyFill="1" applyBorder="1" applyAlignment="1">
      <alignment horizontal="center" vertical="center"/>
    </xf>
    <xf numFmtId="178" fontId="41" fillId="2" borderId="2" xfId="0" applyNumberFormat="1" applyFont="1" applyFill="1" applyBorder="1" applyAlignment="1">
      <alignment horizontal="left" vertical="center"/>
    </xf>
    <xf numFmtId="178" fontId="39" fillId="2" borderId="2" xfId="0" applyNumberFormat="1" applyFont="1" applyFill="1" applyBorder="1" applyAlignment="1">
      <alignment horizontal="center" vertical="center"/>
    </xf>
    <xf numFmtId="0" fontId="39" fillId="2" borderId="2" xfId="0" applyFont="1" applyFill="1" applyBorder="1" applyAlignment="1">
      <alignment horizontal="center" vertical="center"/>
    </xf>
    <xf numFmtId="0" fontId="34" fillId="2" borderId="9" xfId="0" applyFont="1" applyFill="1" applyBorder="1" applyAlignment="1">
      <alignment vertical="center"/>
    </xf>
    <xf numFmtId="0" fontId="34" fillId="0" borderId="0" xfId="0" applyFont="1" applyAlignment="1">
      <alignment horizontal="right" vertical="center"/>
    </xf>
    <xf numFmtId="0" fontId="42" fillId="0" borderId="0" xfId="0" applyFont="1"/>
    <xf numFmtId="0" fontId="31" fillId="0" borderId="0" xfId="0" applyFont="1" applyAlignment="1">
      <alignment horizontal="center"/>
    </xf>
    <xf numFmtId="0" fontId="41" fillId="0" borderId="0" xfId="1" applyFont="1" applyAlignment="1" applyProtection="1"/>
    <xf numFmtId="0" fontId="43" fillId="0" borderId="0" xfId="5" applyFont="1" applyAlignment="1">
      <alignment horizontal="left"/>
    </xf>
    <xf numFmtId="0" fontId="44" fillId="0" borderId="0" xfId="6" applyFont="1"/>
    <xf numFmtId="0" fontId="45" fillId="5" borderId="1" xfId="0" applyFont="1" applyFill="1" applyBorder="1" applyAlignment="1">
      <alignment horizontal="left" vertical="center" indent="1"/>
    </xf>
    <xf numFmtId="0" fontId="45" fillId="5" borderId="1" xfId="0" applyFont="1" applyFill="1" applyBorder="1" applyAlignment="1">
      <alignment horizontal="center" vertical="center" wrapText="1"/>
    </xf>
    <xf numFmtId="0" fontId="46" fillId="4" borderId="8" xfId="0" applyFont="1" applyFill="1" applyBorder="1" applyAlignment="1">
      <alignment horizontal="center" vertical="center" shrinkToFit="1"/>
    </xf>
    <xf numFmtId="0" fontId="33" fillId="0" borderId="0" xfId="54" applyFont="1" applyAlignment="1">
      <alignment vertical="top"/>
    </xf>
    <xf numFmtId="0" fontId="41" fillId="0" borderId="0" xfId="54" applyFont="1"/>
    <xf numFmtId="0" fontId="31" fillId="0" borderId="0" xfId="0" applyFont="1"/>
    <xf numFmtId="14" fontId="34" fillId="3" borderId="4" xfId="0" applyNumberFormat="1" applyFont="1" applyFill="1" applyBorder="1" applyAlignment="1">
      <alignment horizontal="left" vertical="center" wrapText="1" indent="1"/>
    </xf>
    <xf numFmtId="14" fontId="34" fillId="3" borderId="1" xfId="0" applyNumberFormat="1" applyFont="1" applyFill="1" applyBorder="1" applyAlignment="1">
      <alignment horizontal="left" vertical="center" wrapText="1" indent="1"/>
    </xf>
    <xf numFmtId="14" fontId="34" fillId="3" borderId="5" xfId="0" applyNumberFormat="1" applyFont="1" applyFill="1" applyBorder="1" applyAlignment="1">
      <alignment horizontal="left" vertical="center" wrapText="1" indent="1"/>
    </xf>
    <xf numFmtId="0" fontId="34" fillId="0" borderId="0" xfId="8" applyFont="1" applyAlignment="1">
      <alignment horizontal="right" indent="1"/>
    </xf>
    <xf numFmtId="0" fontId="34" fillId="0" borderId="7" xfId="8" applyFont="1" applyBorder="1" applyAlignment="1">
      <alignment horizontal="right" indent="1"/>
    </xf>
    <xf numFmtId="182" fontId="34" fillId="0" borderId="3" xfId="9" applyNumberFormat="1" applyFont="1" applyAlignment="1">
      <alignment horizontal="center" vertical="center"/>
    </xf>
  </cellXfs>
  <cellStyles count="55">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Hyperlink" xfId="54" xr:uid="{00000000-000B-0000-0000-000008000000}"/>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福島 大樹" id="{198ADA87-556F-4FBE-AC73-13EA28B13313}" userId="S::fukushima@ms.kcska.ac.jp::40ca29a5-4cc1-4dda-b3a9-23b2a991d38d" providerId="AD"/>
</personList>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6-10-21T02:57:44.59" personId="{198ADA87-556F-4FBE-AC73-13EA28B13313}" id="{D293CE43-1482-48DC-83C1-84B4DD41760C}">
    <text>ここの日程はいじらないこと。</text>
  </threadedComment>
  <threadedComment ref="B6" dT="2026-10-21T05:00:47.57" personId="{198ADA87-556F-4FBE-AC73-13EA28B13313}" id="{1ECD15E4-77CB-423D-A5F8-CD62EC76E7F3}">
    <text>不要な行は、グループ化をして閉じること。
（行を削除しない。非表示にしない。）</text>
  </threadedComment>
  <threadedComment ref="C6" dT="2026-10-21T03:28:52.36" personId="{198ADA87-556F-4FBE-AC73-13EA28B13313}" id="{F627EE36-49B2-49AA-BAE7-88C318B5C05D}">
    <text>担当者の苗字だけを,区切りで入力</text>
  </threadedComment>
  <threadedComment ref="D6" dT="2026-10-21T03:28:25.30" personId="{198ADA87-556F-4FBE-AC73-13EA28B13313}" id="{EBE4AF5F-7CF9-4771-AF90-1AB6296A7080}">
    <text>日付の予定に対して、何％完成したか？を入力</text>
  </threadedComment>
  <threadedComment ref="E6" dT="2026-10-21T03:27:55.17" personId="{198ADA87-556F-4FBE-AC73-13EA28B13313}" id="{9E0E395E-3486-476A-AB25-F3A9582B885E}">
    <text>スケジュールの予定の「開始」を日付で入力</text>
  </threadedComment>
  <threadedComment ref="F6" dT="2026-10-21T03:28:03.18" personId="{198ADA87-556F-4FBE-AC73-13EA28B13313}" id="{0BE4B143-B837-4CC1-85A9-DBC662E90285}">
    <text>スケジュールの予定の「終了」を日付で入力</text>
  </threadedComment>
  <threadedComment ref="B91" dT="2026-10-21T03:54:51.55" personId="{198ADA87-556F-4FBE-AC73-13EA28B13313}" id="{0D4DF415-71E9-4CFB-8CC3-E66F9262E939}">
    <text>テーブル設計（SQL）なども忘れずに。</text>
  </threadedComment>
  <threadedComment ref="B144" dT="2026-10-21T03:56:20.49" personId="{198ADA87-556F-4FBE-AC73-13EA28B13313}" id="{74C94CCE-9DA8-456E-B157-E3FD4864E065}">
    <text xml:space="preserve">コード設計とは何か？用いられるコードの種類とコード設計書に記述する内容を解説 | Promapedia（プロマペディア）｜プロジェクトマネジメント用語辞典 </text>
    <extLst>
      <x:ext xmlns:xltc2="http://schemas.microsoft.com/office/spreadsheetml/2020/threadedcomments2" uri="{F7C98A9C-CBB3-438F-8F68-D28B6AF4A901}">
        <xltc2:checksum>257459758</xltc2:checksum>
        <xltc2:hyperlink startIndex="0" length="77" url="https://ssaits.jp/promapedia/method/code-design.html"/>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6-10-21T02:57:44.59" personId="{00000000-0000-0000-0000-000000000000}" id="{582AFFB2-866C-4406-A85E-2BD527296D84}">
    <text>ここの日程はいじらないこと。</text>
  </threadedComment>
  <threadedComment ref="B6" dT="2026-10-21T05:00:47.57" personId="{00000000-0000-0000-0000-000000000000}" id="{032D2D63-8BF3-4080-B195-1E37F401C031}">
    <text>不要な行は、グループ化をして閉じること。
（行を削除しない。非表示にしない。）</text>
  </threadedComment>
  <threadedComment ref="C6" dT="2026-10-21T03:28:52.36" personId="{00000000-0000-0000-0000-000000000000}" id="{4A92BCFB-D4BF-4FEE-BB4B-20289098BBAE}">
    <text>担当者の苗字だけを,区切りで入力</text>
  </threadedComment>
  <threadedComment ref="D6" dT="2026-10-21T03:28:25.30" personId="{00000000-0000-0000-0000-000000000000}" id="{5235012C-85BF-4DB3-8F69-7D5952C21B95}">
    <text>日付の予定に対して、何％完成したか？を入力</text>
  </threadedComment>
  <threadedComment ref="E6" dT="2026-10-21T03:27:55.17" personId="{00000000-0000-0000-0000-000000000000}" id="{C8745776-CA0A-440D-B4FA-EF4822A7C2CB}">
    <text>スケジュールの予定の「開始」を日付で入力</text>
  </threadedComment>
  <threadedComment ref="F6" dT="2026-10-21T03:28:03.18" personId="{00000000-0000-0000-0000-000000000000}" id="{36E0889A-7570-4161-8598-FBCD402DC5D2}">
    <text>スケジュールの予定の「終了」を日付で入力</text>
  </threadedComment>
  <threadedComment ref="B91" dT="2026-10-21T03:54:51.55" personId="{00000000-0000-0000-0000-000000000000}" id="{B3BA808E-3A87-4271-B950-B6B702F7FC8E}">
    <text>テーブル設計（SQL）なども忘れずに。</text>
  </threadedComment>
  <threadedComment ref="B144" dT="2026-10-21T03:56:20.49" personId="{00000000-0000-0000-0000-000000000000}" id="{22C5683C-3F5C-481A-9042-11A3394E5A31}">
    <text xml:space="preserve">コード設計とは何か？用いられるコードの種類とコード設計書に記述する内容を解説 | Promapedia（プロマペディア）｜プロジェクトマネジメント用語辞典 </text>
    <extLst>
      <x:ext xmlns:xltc2="http://schemas.microsoft.com/office/spreadsheetml/2020/threadedcomments2" uri="{F7C98A9C-CBB3-438F-8F68-D28B6AF4A901}">
        <xltc2:checksum>257459758</xltc2:checksum>
        <xltc2:hyperlink startIndex="0" length="77" url="https://ssaits.jp/promapedia/method/code-design.html"/>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90"/>
  <sheetViews>
    <sheetView showGridLines="0" tabSelected="1" showRuler="0" zoomScale="68" zoomScaleNormal="100" zoomScalePageLayoutView="70" workbookViewId="0">
      <pane xSplit="8" ySplit="7" topLeftCell="I253" activePane="bottomRight" state="frozen"/>
      <selection pane="bottomRight" activeCell="B257" sqref="B257"/>
      <selection pane="bottomLeft" activeCell="A8" sqref="A8"/>
      <selection pane="topRight" activeCell="I1" sqref="I1"/>
    </sheetView>
  </sheetViews>
  <sheetFormatPr defaultRowHeight="30" customHeight="1" outlineLevelRow="1"/>
  <cols>
    <col min="1" max="1" width="2.5546875" style="20" customWidth="1"/>
    <col min="2" max="2" width="37.109375" style="18" customWidth="1"/>
    <col min="3" max="3" width="10.109375" style="18" customWidth="1"/>
    <col min="4" max="4" width="8.44140625" style="18" customWidth="1"/>
    <col min="5" max="5" width="11.6640625" style="21" customWidth="1"/>
    <col min="6" max="6" width="11.6640625" style="18" customWidth="1"/>
    <col min="7" max="7" width="2.5546875" style="18" customWidth="1"/>
    <col min="8" max="8" width="6" style="18" hidden="1" customWidth="1"/>
    <col min="9" max="64" width="2.44140625" style="18" customWidth="1"/>
    <col min="65" max="65" width="8.88671875" style="18"/>
    <col min="66" max="68" width="7.21875" style="18"/>
    <col min="69" max="70" width="8.44140625" style="18"/>
    <col min="71" max="16384" width="8.88671875" style="18"/>
  </cols>
  <sheetData>
    <row r="1" spans="1:64" ht="30" customHeight="1">
      <c r="A1" s="13" t="s">
        <v>0</v>
      </c>
      <c r="B1" s="131" t="s">
        <v>1</v>
      </c>
      <c r="C1" s="14"/>
      <c r="D1" s="15"/>
      <c r="E1" s="16"/>
      <c r="F1" s="17"/>
      <c r="H1" s="15"/>
      <c r="I1" s="19"/>
    </row>
    <row r="2" spans="1:64" ht="30" customHeight="1">
      <c r="A2" s="20" t="s">
        <v>2</v>
      </c>
      <c r="B2" s="132" t="inlineStr">
        <is>
          <t>R4S1 ARMY</t>
        </is>
      </c>
      <c r="I2" s="22"/>
    </row>
    <row r="3" spans="1:64" ht="30" customHeight="1">
      <c r="A3" s="20" t="s">
        <v>4</v>
      </c>
      <c r="B3" s="23"/>
      <c r="C3" s="142" t="s">
        <v>5</v>
      </c>
      <c r="D3" s="143"/>
      <c r="E3" s="144">
        <v>46321</v>
      </c>
      <c r="F3" s="144"/>
    </row>
    <row r="4" spans="1:64" ht="30" customHeight="1">
      <c r="A4" s="13" t="s">
        <v>6</v>
      </c>
      <c r="C4" s="142" t="s">
        <v>7</v>
      </c>
      <c r="D4" s="143"/>
      <c r="E4" s="24">
        <v>1</v>
      </c>
      <c r="I4" s="139">
        <f>I5</f>
        <v>46321</v>
      </c>
      <c r="J4" s="140"/>
      <c r="K4" s="140"/>
      <c r="L4" s="140"/>
      <c r="M4" s="140"/>
      <c r="N4" s="140"/>
      <c r="O4" s="141"/>
      <c r="P4" s="139">
        <f>P5</f>
        <v>46328</v>
      </c>
      <c r="Q4" s="140"/>
      <c r="R4" s="140"/>
      <c r="S4" s="140"/>
      <c r="T4" s="140"/>
      <c r="U4" s="140"/>
      <c r="V4" s="141"/>
      <c r="W4" s="139">
        <f>W5</f>
        <v>46335</v>
      </c>
      <c r="X4" s="140"/>
      <c r="Y4" s="140"/>
      <c r="Z4" s="140"/>
      <c r="AA4" s="140"/>
      <c r="AB4" s="140"/>
      <c r="AC4" s="141"/>
      <c r="AD4" s="139">
        <f>AD5</f>
        <v>46342</v>
      </c>
      <c r="AE4" s="140"/>
      <c r="AF4" s="140"/>
      <c r="AG4" s="140"/>
      <c r="AH4" s="140"/>
      <c r="AI4" s="140"/>
      <c r="AJ4" s="141"/>
      <c r="AK4" s="139">
        <f>AK5</f>
        <v>46349</v>
      </c>
      <c r="AL4" s="140"/>
      <c r="AM4" s="140"/>
      <c r="AN4" s="140"/>
      <c r="AO4" s="140"/>
      <c r="AP4" s="140"/>
      <c r="AQ4" s="141"/>
      <c r="AR4" s="139">
        <f>AR5</f>
        <v>46356</v>
      </c>
      <c r="AS4" s="140"/>
      <c r="AT4" s="140"/>
      <c r="AU4" s="140"/>
      <c r="AV4" s="140"/>
      <c r="AW4" s="140"/>
      <c r="AX4" s="141"/>
      <c r="AY4" s="139">
        <f>AY5</f>
        <v>46363</v>
      </c>
      <c r="AZ4" s="140"/>
      <c r="BA4" s="140"/>
      <c r="BB4" s="140"/>
      <c r="BC4" s="140"/>
      <c r="BD4" s="140"/>
      <c r="BE4" s="141"/>
      <c r="BF4" s="139">
        <f>BF5</f>
        <v>46370</v>
      </c>
      <c r="BG4" s="140"/>
      <c r="BH4" s="140"/>
      <c r="BI4" s="140"/>
      <c r="BJ4" s="140"/>
      <c r="BK4" s="140"/>
      <c r="BL4" s="141"/>
    </row>
    <row r="5" spans="1:64" ht="15" customHeight="1">
      <c r="A5" s="13" t="s">
        <v>8</v>
      </c>
      <c r="B5" s="25"/>
      <c r="C5" s="25"/>
      <c r="D5" s="25"/>
      <c r="E5" s="25"/>
      <c r="F5" s="25"/>
      <c r="G5" s="25"/>
      <c r="I5" s="26">
        <f>プロジェクトの開始-WEEKDAY(プロジェクトの開始,1)+2+7*(週表示-1)</f>
        <v>46321</v>
      </c>
      <c r="J5" s="27">
        <f>I5+1</f>
        <v>46322</v>
      </c>
      <c r="K5" s="27">
        <f t="shared" ref="K5:AX5" si="0">J5+1</f>
        <v>46323</v>
      </c>
      <c r="L5" s="27">
        <f t="shared" si="0"/>
        <v>46324</v>
      </c>
      <c r="M5" s="27">
        <f t="shared" si="0"/>
        <v>46325</v>
      </c>
      <c r="N5" s="27">
        <f t="shared" si="0"/>
        <v>46326</v>
      </c>
      <c r="O5" s="28">
        <f t="shared" si="0"/>
        <v>46327</v>
      </c>
      <c r="P5" s="26">
        <f>O5+1</f>
        <v>46328</v>
      </c>
      <c r="Q5" s="27">
        <f>P5+1</f>
        <v>46329</v>
      </c>
      <c r="R5" s="27">
        <f t="shared" si="0"/>
        <v>46330</v>
      </c>
      <c r="S5" s="27">
        <f t="shared" si="0"/>
        <v>46331</v>
      </c>
      <c r="T5" s="27">
        <f t="shared" si="0"/>
        <v>46332</v>
      </c>
      <c r="U5" s="27">
        <f t="shared" si="0"/>
        <v>46333</v>
      </c>
      <c r="V5" s="28">
        <f t="shared" si="0"/>
        <v>46334</v>
      </c>
      <c r="W5" s="26">
        <f>V5+1</f>
        <v>46335</v>
      </c>
      <c r="X5" s="27">
        <f>W5+1</f>
        <v>46336</v>
      </c>
      <c r="Y5" s="27">
        <f t="shared" si="0"/>
        <v>46337</v>
      </c>
      <c r="Z5" s="27">
        <f t="shared" si="0"/>
        <v>46338</v>
      </c>
      <c r="AA5" s="27">
        <f t="shared" si="0"/>
        <v>46339</v>
      </c>
      <c r="AB5" s="27">
        <f t="shared" si="0"/>
        <v>46340</v>
      </c>
      <c r="AC5" s="28">
        <f t="shared" si="0"/>
        <v>46341</v>
      </c>
      <c r="AD5" s="26">
        <f>AC5+1</f>
        <v>46342</v>
      </c>
      <c r="AE5" s="27">
        <f>AD5+1</f>
        <v>46343</v>
      </c>
      <c r="AF5" s="27">
        <f t="shared" si="0"/>
        <v>46344</v>
      </c>
      <c r="AG5" s="27">
        <f t="shared" si="0"/>
        <v>46345</v>
      </c>
      <c r="AH5" s="27">
        <f t="shared" si="0"/>
        <v>46346</v>
      </c>
      <c r="AI5" s="27">
        <f t="shared" si="0"/>
        <v>46347</v>
      </c>
      <c r="AJ5" s="28">
        <f t="shared" si="0"/>
        <v>46348</v>
      </c>
      <c r="AK5" s="26">
        <f>AJ5+1</f>
        <v>46349</v>
      </c>
      <c r="AL5" s="27">
        <f>AK5+1</f>
        <v>46350</v>
      </c>
      <c r="AM5" s="27">
        <f t="shared" si="0"/>
        <v>46351</v>
      </c>
      <c r="AN5" s="27">
        <f t="shared" si="0"/>
        <v>46352</v>
      </c>
      <c r="AO5" s="27">
        <f t="shared" si="0"/>
        <v>46353</v>
      </c>
      <c r="AP5" s="27">
        <f t="shared" si="0"/>
        <v>46354</v>
      </c>
      <c r="AQ5" s="28">
        <f t="shared" si="0"/>
        <v>46355</v>
      </c>
      <c r="AR5" s="26">
        <f>AQ5+1</f>
        <v>46356</v>
      </c>
      <c r="AS5" s="27">
        <f>AR5+1</f>
        <v>46357</v>
      </c>
      <c r="AT5" s="27">
        <f t="shared" si="0"/>
        <v>46358</v>
      </c>
      <c r="AU5" s="27">
        <f t="shared" si="0"/>
        <v>46359</v>
      </c>
      <c r="AV5" s="27">
        <f t="shared" si="0"/>
        <v>46360</v>
      </c>
      <c r="AW5" s="27">
        <f t="shared" si="0"/>
        <v>46361</v>
      </c>
      <c r="AX5" s="28">
        <f t="shared" si="0"/>
        <v>46362</v>
      </c>
      <c r="AY5" s="26">
        <f>AX5+1</f>
        <v>46363</v>
      </c>
      <c r="AZ5" s="27">
        <f>AY5+1</f>
        <v>46364</v>
      </c>
      <c r="BA5" s="27">
        <f t="shared" ref="BA5:BE5" si="1">AZ5+1</f>
        <v>46365</v>
      </c>
      <c r="BB5" s="27">
        <f t="shared" si="1"/>
        <v>46366</v>
      </c>
      <c r="BC5" s="27">
        <f t="shared" si="1"/>
        <v>46367</v>
      </c>
      <c r="BD5" s="27">
        <f t="shared" si="1"/>
        <v>46368</v>
      </c>
      <c r="BE5" s="28">
        <f t="shared" si="1"/>
        <v>46369</v>
      </c>
      <c r="BF5" s="26">
        <f>BE5+1</f>
        <v>46370</v>
      </c>
      <c r="BG5" s="27">
        <f>BF5+1</f>
        <v>46371</v>
      </c>
      <c r="BH5" s="27">
        <f t="shared" ref="BH5:BL5" si="2">BG5+1</f>
        <v>46372</v>
      </c>
      <c r="BI5" s="27">
        <f t="shared" si="2"/>
        <v>46373</v>
      </c>
      <c r="BJ5" s="27">
        <f t="shared" si="2"/>
        <v>46374</v>
      </c>
      <c r="BK5" s="27">
        <f t="shared" si="2"/>
        <v>46375</v>
      </c>
      <c r="BL5" s="28">
        <f t="shared" si="2"/>
        <v>46376</v>
      </c>
    </row>
    <row r="6" spans="1:64" ht="30" customHeight="1">
      <c r="A6" s="13" t="s">
        <v>9</v>
      </c>
      <c r="B6" s="133" t="s">
        <v>10</v>
      </c>
      <c r="C6" s="134" t="s">
        <v>11</v>
      </c>
      <c r="D6" s="134" t="s">
        <v>12</v>
      </c>
      <c r="E6" s="134" t="s">
        <v>13</v>
      </c>
      <c r="F6" s="134" t="s">
        <v>14</v>
      </c>
      <c r="G6" s="134"/>
      <c r="H6" s="134" t="s">
        <v>15</v>
      </c>
      <c r="I6" s="135" t="str">
        <f t="shared" ref="I6:AN6" si="3">LEFT(TEXT(I5,"aaa"),1)</f>
        <v>月</v>
      </c>
      <c r="J6" s="135" t="str">
        <f t="shared" si="3"/>
        <v>火</v>
      </c>
      <c r="K6" s="135" t="str">
        <f t="shared" si="3"/>
        <v>水</v>
      </c>
      <c r="L6" s="135" t="str">
        <f t="shared" si="3"/>
        <v>木</v>
      </c>
      <c r="M6" s="135" t="str">
        <f t="shared" si="3"/>
        <v>金</v>
      </c>
      <c r="N6" s="135" t="str">
        <f t="shared" si="3"/>
        <v>土</v>
      </c>
      <c r="O6" s="135" t="str">
        <f t="shared" si="3"/>
        <v>日</v>
      </c>
      <c r="P6" s="135" t="str">
        <f t="shared" si="3"/>
        <v>月</v>
      </c>
      <c r="Q6" s="135" t="str">
        <f t="shared" si="3"/>
        <v>火</v>
      </c>
      <c r="R6" s="135" t="str">
        <f t="shared" si="3"/>
        <v>水</v>
      </c>
      <c r="S6" s="135" t="str">
        <f t="shared" si="3"/>
        <v>木</v>
      </c>
      <c r="T6" s="135" t="str">
        <f t="shared" si="3"/>
        <v>金</v>
      </c>
      <c r="U6" s="135" t="str">
        <f t="shared" si="3"/>
        <v>土</v>
      </c>
      <c r="V6" s="135" t="str">
        <f t="shared" si="3"/>
        <v>日</v>
      </c>
      <c r="W6" s="135" t="str">
        <f t="shared" si="3"/>
        <v>月</v>
      </c>
      <c r="X6" s="135" t="str">
        <f t="shared" si="3"/>
        <v>火</v>
      </c>
      <c r="Y6" s="135" t="str">
        <f t="shared" si="3"/>
        <v>水</v>
      </c>
      <c r="Z6" s="135" t="str">
        <f t="shared" si="3"/>
        <v>木</v>
      </c>
      <c r="AA6" s="135" t="str">
        <f t="shared" si="3"/>
        <v>金</v>
      </c>
      <c r="AB6" s="135" t="str">
        <f t="shared" si="3"/>
        <v>土</v>
      </c>
      <c r="AC6" s="135" t="str">
        <f t="shared" si="3"/>
        <v>日</v>
      </c>
      <c r="AD6" s="135" t="str">
        <f t="shared" si="3"/>
        <v>月</v>
      </c>
      <c r="AE6" s="135" t="str">
        <f t="shared" si="3"/>
        <v>火</v>
      </c>
      <c r="AF6" s="135" t="str">
        <f t="shared" si="3"/>
        <v>水</v>
      </c>
      <c r="AG6" s="135" t="str">
        <f t="shared" si="3"/>
        <v>木</v>
      </c>
      <c r="AH6" s="135" t="str">
        <f t="shared" si="3"/>
        <v>金</v>
      </c>
      <c r="AI6" s="135" t="str">
        <f t="shared" si="3"/>
        <v>土</v>
      </c>
      <c r="AJ6" s="135" t="str">
        <f t="shared" si="3"/>
        <v>日</v>
      </c>
      <c r="AK6" s="135" t="str">
        <f t="shared" si="3"/>
        <v>月</v>
      </c>
      <c r="AL6" s="135" t="str">
        <f t="shared" si="3"/>
        <v>火</v>
      </c>
      <c r="AM6" s="135" t="str">
        <f t="shared" si="3"/>
        <v>水</v>
      </c>
      <c r="AN6" s="135" t="str">
        <f t="shared" si="3"/>
        <v>木</v>
      </c>
      <c r="AO6" s="135" t="str">
        <f t="shared" ref="AO6:BL6" si="4">LEFT(TEXT(AO5,"aaa"),1)</f>
        <v>金</v>
      </c>
      <c r="AP6" s="135" t="str">
        <f t="shared" si="4"/>
        <v>土</v>
      </c>
      <c r="AQ6" s="135" t="str">
        <f t="shared" si="4"/>
        <v>日</v>
      </c>
      <c r="AR6" s="135" t="str">
        <f t="shared" si="4"/>
        <v>月</v>
      </c>
      <c r="AS6" s="135" t="str">
        <f t="shared" si="4"/>
        <v>火</v>
      </c>
      <c r="AT6" s="135" t="str">
        <f t="shared" si="4"/>
        <v>水</v>
      </c>
      <c r="AU6" s="135" t="str">
        <f t="shared" si="4"/>
        <v>木</v>
      </c>
      <c r="AV6" s="135" t="str">
        <f t="shared" si="4"/>
        <v>金</v>
      </c>
      <c r="AW6" s="135" t="str">
        <f t="shared" si="4"/>
        <v>土</v>
      </c>
      <c r="AX6" s="135" t="str">
        <f t="shared" si="4"/>
        <v>日</v>
      </c>
      <c r="AY6" s="135" t="str">
        <f t="shared" si="4"/>
        <v>月</v>
      </c>
      <c r="AZ6" s="135" t="str">
        <f t="shared" si="4"/>
        <v>火</v>
      </c>
      <c r="BA6" s="135" t="str">
        <f t="shared" si="4"/>
        <v>水</v>
      </c>
      <c r="BB6" s="135" t="str">
        <f t="shared" si="4"/>
        <v>木</v>
      </c>
      <c r="BC6" s="135" t="str">
        <f t="shared" si="4"/>
        <v>金</v>
      </c>
      <c r="BD6" s="135" t="str">
        <f t="shared" si="4"/>
        <v>土</v>
      </c>
      <c r="BE6" s="135" t="str">
        <f t="shared" si="4"/>
        <v>日</v>
      </c>
      <c r="BF6" s="135" t="str">
        <f t="shared" si="4"/>
        <v>月</v>
      </c>
      <c r="BG6" s="135" t="str">
        <f t="shared" si="4"/>
        <v>火</v>
      </c>
      <c r="BH6" s="135" t="str">
        <f t="shared" si="4"/>
        <v>水</v>
      </c>
      <c r="BI6" s="135" t="str">
        <f t="shared" si="4"/>
        <v>木</v>
      </c>
      <c r="BJ6" s="135" t="str">
        <f t="shared" si="4"/>
        <v>金</v>
      </c>
      <c r="BK6" s="135" t="str">
        <f t="shared" si="4"/>
        <v>土</v>
      </c>
      <c r="BL6" s="135" t="str">
        <f t="shared" si="4"/>
        <v>日</v>
      </c>
    </row>
    <row r="7" spans="1:64" ht="30" hidden="1" customHeight="1" thickBot="1">
      <c r="A7" s="20" t="s">
        <v>16</v>
      </c>
      <c r="C7" s="29"/>
      <c r="E7" s="18"/>
      <c r="H7" s="18" t="str">
        <f ca="1">IF(OR(ISBLANK(タスク_開始),ISBLANK(タスク_終了)),"",タスク_終了-タスク_開始+1)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37" customFormat="1" ht="30" customHeight="1">
      <c r="A8" s="13" t="s">
        <v>17</v>
      </c>
      <c r="B8" s="31" t="s">
        <v>18</v>
      </c>
      <c r="C8" s="32"/>
      <c r="D8" s="33"/>
      <c r="E8" s="34"/>
      <c r="F8" s="35"/>
      <c r="G8" s="36"/>
      <c r="H8" s="36" t="str">
        <f t="shared" ref="H8:H387" ca="1" si="5">IF(OR(ISBLANK(タスク_開始),ISBLANK(タスク_終了)),"",タスク_終了-タスク_開始+1)</f>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spans="1:64" s="37" customFormat="1" ht="30" customHeight="1">
      <c r="A9" s="13" t="s">
        <v>19</v>
      </c>
      <c r="B9" s="38" t="s">
        <v>20</v>
      </c>
      <c r="C9" s="39" t="inlineStr">
        <is>
          <t>上釜</t>
        </is>
      </c>
      <c r="D9" s="40">
        <v>0.8</v>
      </c>
      <c r="E9" s="41">
        <v>46316</v>
      </c>
      <c r="F9" s="41">
        <v>46326</v>
      </c>
      <c r="G9" s="36"/>
      <c r="H9" s="36">
        <f t="shared" ca="1" si="5"/>
        <v>11</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s="37" customFormat="1" ht="30" customHeight="1">
      <c r="A10" s="13" t="s">
        <v>22</v>
      </c>
      <c r="B10" s="38" t="s">
        <v>23</v>
      </c>
      <c r="C10" s="39" t="inlineStr">
        <is>
          <t>上釜</t>
        </is>
      </c>
      <c r="D10" s="40">
        <v>0.8</v>
      </c>
      <c r="E10" s="41">
        <v>46316</v>
      </c>
      <c r="F10" s="41">
        <v>46326</v>
      </c>
      <c r="G10" s="36"/>
      <c r="H10" s="36">
        <f t="shared" ca="1" si="5"/>
        <v>11</v>
      </c>
      <c r="I10" s="30"/>
      <c r="J10" s="30"/>
      <c r="K10" s="30"/>
      <c r="L10" s="30"/>
      <c r="M10" s="30"/>
      <c r="N10" s="30"/>
      <c r="O10" s="30"/>
      <c r="P10" s="30"/>
      <c r="Q10" s="30"/>
      <c r="R10" s="30"/>
      <c r="S10" s="30"/>
      <c r="T10" s="30"/>
      <c r="U10" s="42"/>
      <c r="V10" s="42"/>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s="37" customFormat="1" ht="30" customHeight="1">
      <c r="A11" s="20"/>
      <c r="B11" s="38" t="s">
        <v>24</v>
      </c>
      <c r="C11" s="39" t="inlineStr">
        <is>
          <t>上釜</t>
        </is>
      </c>
      <c r="D11" s="40">
        <v>0.8</v>
      </c>
      <c r="E11" s="41">
        <v>46316</v>
      </c>
      <c r="F11" s="41">
        <v>46326</v>
      </c>
      <c r="G11" s="36"/>
      <c r="H11" s="36">
        <f t="shared" ca="1" si="5"/>
        <v>11</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s="37" customFormat="1" ht="30" customHeight="1">
      <c r="A12" s="20"/>
      <c r="B12" s="38" t="s">
        <v>25</v>
      </c>
      <c r="C12" s="39" t="inlineStr">
        <is>
          <t>上釜</t>
        </is>
      </c>
      <c r="D12" s="40">
        <v>0.8</v>
      </c>
      <c r="E12" s="41">
        <v>46316</v>
      </c>
      <c r="F12" s="41">
        <v>46326</v>
      </c>
      <c r="G12" s="36"/>
      <c r="H12" s="36">
        <f t="shared" ca="1" si="5"/>
        <v>11</v>
      </c>
      <c r="I12" s="30"/>
      <c r="J12" s="30"/>
      <c r="K12" s="30"/>
      <c r="L12" s="30"/>
      <c r="M12" s="30"/>
      <c r="N12" s="30"/>
      <c r="O12" s="30"/>
      <c r="P12" s="30"/>
      <c r="Q12" s="30"/>
      <c r="R12" s="30"/>
      <c r="S12" s="30"/>
      <c r="T12" s="30"/>
      <c r="U12" s="30"/>
      <c r="V12" s="30"/>
      <c r="W12" s="30"/>
      <c r="X12" s="30"/>
      <c r="Y12" s="42"/>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s="37" customFormat="1" ht="30" customHeight="1">
      <c r="A13" s="20"/>
      <c r="B13" s="38" t="s">
        <v>26</v>
      </c>
      <c r="C13" s="39" t="s">
        <v>27</v>
      </c>
      <c r="D13" s="40">
        <v>0.8</v>
      </c>
      <c r="E13" s="41">
        <v>46316</v>
      </c>
      <c r="F13" s="41">
        <v>46339</v>
      </c>
      <c r="G13" s="36"/>
      <c r="H13" s="36">
        <f t="shared" ca="1" si="5"/>
        <v>24</v>
      </c>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s="37" customFormat="1" ht="30" customHeight="1">
      <c r="A14" s="20"/>
      <c r="B14" s="38" t="s">
        <v>28</v>
      </c>
      <c r="C14" s="39" t="s">
        <v>27</v>
      </c>
      <c r="D14" s="40">
        <v>0.8</v>
      </c>
      <c r="E14" s="41">
        <v>46316</v>
      </c>
      <c r="F14" s="41">
        <v>46339</v>
      </c>
      <c r="G14" s="36"/>
      <c r="H14" s="36">
        <f t="shared" ca="1" si="5"/>
        <v>24</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s="37" customFormat="1" ht="30" customHeight="1">
      <c r="A15" s="20"/>
      <c r="B15" s="38" t="s">
        <v>29</v>
      </c>
      <c r="C15" s="39" t="inlineStr">
        <is>
          <t>江副</t>
        </is>
      </c>
      <c r="D15" s="40">
        <v>0.8</v>
      </c>
      <c r="E15" s="41">
        <v>46316</v>
      </c>
      <c r="F15" s="41">
        <v>46339</v>
      </c>
      <c r="G15" s="36"/>
      <c r="H15" s="36">
        <f ca="1">IF(OR(ISBLANK(タスク_開始),ISBLANK(タスク_終了)),"",タスク_終了-タスク_開始+1)</f>
        <v>24</v>
      </c>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s="37" customFormat="1" ht="30" customHeight="1">
      <c r="A16" s="20"/>
      <c r="B16" s="38" t="s">
        <v>30</v>
      </c>
      <c r="C16" s="39" t="s">
        <v>27</v>
      </c>
      <c r="D16" s="40">
        <v>0.8</v>
      </c>
      <c r="E16" s="41">
        <v>46316</v>
      </c>
      <c r="F16" s="41">
        <v>46339</v>
      </c>
      <c r="G16" s="36"/>
      <c r="H16" s="36">
        <f ca="1">IF(OR(ISBLANK(タスク_開始),ISBLANK(タスク_終了)),"",タスク_終了-タスク_開始+1)</f>
        <v>24</v>
      </c>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spans="1:64" s="37" customFormat="1" ht="30" customHeight="1">
      <c r="A17" s="20"/>
      <c r="B17" s="38" t="s">
        <v>31</v>
      </c>
      <c r="C17" s="39" t="s">
        <v>27</v>
      </c>
      <c r="D17" s="40">
        <v>0.8</v>
      </c>
      <c r="E17" s="41">
        <v>46316</v>
      </c>
      <c r="F17" s="41">
        <v>46339</v>
      </c>
      <c r="G17" s="36"/>
      <c r="H17" s="36">
        <f ca="1">IF(OR(ISBLANK(タスク_開始),ISBLANK(タスク_終了)),"",タスク_終了-タスク_開始+1)</f>
        <v>24</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s="37" customFormat="1" ht="30" customHeight="1">
      <c r="A18" s="20"/>
      <c r="B18" s="38" t="s">
        <v>32</v>
      </c>
      <c r="C18" s="39" t="s">
        <v>27</v>
      </c>
      <c r="D18" s="40">
        <v>0.8</v>
      </c>
      <c r="E18" s="41">
        <v>46316</v>
      </c>
      <c r="F18" s="41">
        <v>46339</v>
      </c>
      <c r="G18" s="36"/>
      <c r="H18" s="36">
        <f ca="1">IF(OR(ISBLANK(タスク_開始),ISBLANK(タスク_終了)),"",タスク_終了-タスク_開始+1)</f>
        <v>24</v>
      </c>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s="37" customFormat="1" ht="30" customHeight="1">
      <c r="A19" s="20"/>
      <c r="B19" s="38" t="s">
        <v>33</v>
      </c>
      <c r="C19" s="39" t="s">
        <v>27</v>
      </c>
      <c r="D19" s="40">
        <v>0.6</v>
      </c>
      <c r="E19" s="41">
        <v>46316</v>
      </c>
      <c r="F19" s="41">
        <v>46356</v>
      </c>
      <c r="G19" s="36"/>
      <c r="H19" s="36">
        <f ca="1">IF(OR(ISBLANK(タスク_開始),ISBLANK(タスク_終了)),"",タスク_終了-タスク_開始+1)</f>
        <v>41</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s="37" customFormat="1" ht="30" customHeight="1">
      <c r="A20" s="20"/>
      <c r="B20" s="38" t="s">
        <v>34</v>
      </c>
      <c r="C20" s="39" t="s">
        <v>27</v>
      </c>
      <c r="D20" s="40"/>
      <c r="E20" s="41">
        <v>46327</v>
      </c>
      <c r="F20" s="41">
        <v>46402</v>
      </c>
      <c r="G20" s="36"/>
      <c r="H20" s="36">
        <f ca="1">IF(OR(ISBLANK(タスク_開始),ISBLANK(タスク_終了)),"",タスク_終了-タスク_開始+1)</f>
        <v>76</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s="37" customFormat="1" ht="30" customHeight="1">
      <c r="A21" s="20"/>
      <c r="B21" s="38" t="s">
        <v>35</v>
      </c>
      <c r="C21" s="39" t="s">
        <v>27</v>
      </c>
      <c r="D21" s="40"/>
      <c r="E21" s="41">
        <v>46327</v>
      </c>
      <c r="F21" s="41">
        <v>46402</v>
      </c>
      <c r="G21" s="36"/>
      <c r="H21" s="36">
        <f ca="1">IF(OR(ISBLANK(タスク_開始),ISBLANK(タスク_終了)),"",タスク_終了-タスク_開始+1)</f>
        <v>76</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s="37" customFormat="1" ht="30" customHeight="1">
      <c r="A22" s="20"/>
      <c r="B22" s="38" t="s">
        <v>36</v>
      </c>
      <c r="C22" s="39" t="s">
        <v>27</v>
      </c>
      <c r="D22" s="40"/>
      <c r="E22" s="41">
        <v>46405</v>
      </c>
      <c r="F22" s="41">
        <v>46409</v>
      </c>
      <c r="G22" s="36"/>
      <c r="H22" s="36">
        <f ca="1">IF(OR(ISBLANK(タスク_開始),ISBLANK(タスク_終了)),"",タスク_終了-タスク_開始+1)</f>
        <v>5</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spans="1:64" s="37" customFormat="1" ht="30" customHeight="1">
      <c r="A23" s="20"/>
      <c r="B23" s="38" t="s">
        <v>37</v>
      </c>
      <c r="C23" s="39" t="s">
        <v>27</v>
      </c>
      <c r="D23" s="40"/>
      <c r="E23" s="41">
        <v>46412</v>
      </c>
      <c r="F23" s="41">
        <v>46421</v>
      </c>
      <c r="G23" s="36"/>
      <c r="H23" s="36">
        <f ca="1">IF(OR(ISBLANK(タスク_開始),ISBLANK(タスク_終了)),"",タスク_終了-タスク_開始+1)</f>
        <v>10</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spans="1:64" s="37" customFormat="1" ht="30" customHeight="1">
      <c r="A24" s="20"/>
      <c r="B24" s="38" t="s">
        <v>38</v>
      </c>
      <c r="C24" s="43" t="s">
        <v>39</v>
      </c>
      <c r="D24" s="40"/>
      <c r="E24" s="41">
        <v>46427</v>
      </c>
      <c r="F24" s="41">
        <v>46427</v>
      </c>
      <c r="G24" s="36"/>
      <c r="H24" s="36">
        <f ca="1">IF(OR(ISBLANK(タスク_開始),ISBLANK(タスク_終了)),"",タスク_終了-タスク_開始+1)</f>
        <v>1</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s="37" customFormat="1" ht="30" customHeight="1">
      <c r="A25" s="13" t="s">
        <v>40</v>
      </c>
      <c r="B25" s="44" t="s">
        <v>41</v>
      </c>
      <c r="C25" s="45"/>
      <c r="D25" s="46"/>
      <c r="E25" s="47"/>
      <c r="F25" s="48"/>
      <c r="G25" s="36"/>
      <c r="H25" s="36" t="str">
        <f t="shared" ca="1" si="5"/>
        <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s="37" customFormat="1" ht="30" customHeight="1">
      <c r="A26" s="13"/>
      <c r="B26" s="49" t="s">
        <v>42</v>
      </c>
      <c r="C26" s="50" t="inlineStr">
        <is>
          <t>上釜</t>
        </is>
      </c>
      <c r="D26" s="51">
        <v>0.8</v>
      </c>
      <c r="E26" s="52">
        <v>46321</v>
      </c>
      <c r="F26" s="52">
        <v>46322</v>
      </c>
      <c r="G26" s="36"/>
      <c r="H26" s="36" t="e">
        <f t="shared" ca="1" si="5"/>
        <v>#VALUE!</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s="37" customFormat="1" ht="30" customHeight="1">
      <c r="A27" s="20"/>
      <c r="B27" s="49" t="s">
        <v>43</v>
      </c>
      <c r="C27" s="50" t="inlineStr">
        <is>
          <t>上釜</t>
        </is>
      </c>
      <c r="D27" s="51">
        <v>0.8</v>
      </c>
      <c r="E27" s="52">
        <v>46323</v>
      </c>
      <c r="F27" s="52">
        <v>46324</v>
      </c>
      <c r="G27" s="36"/>
      <c r="H27" s="36" t="e">
        <f ca="1">IF(OR(ISBLANK(タスク_開始),ISBLANK(タスク_終了)),"",タスク_終了-タスク_開始+1)</f>
        <v>#VALUE!</v>
      </c>
      <c r="I27" s="30"/>
      <c r="J27" s="30"/>
      <c r="K27" s="30"/>
      <c r="L27" s="30"/>
      <c r="M27" s="30"/>
      <c r="N27" s="30"/>
      <c r="O27" s="30"/>
      <c r="P27" s="30"/>
      <c r="Q27" s="30"/>
      <c r="R27" s="30"/>
      <c r="S27" s="30"/>
      <c r="T27" s="30"/>
      <c r="U27" s="42"/>
      <c r="V27" s="42"/>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spans="1:64" s="37" customFormat="1" ht="30" customHeight="1">
      <c r="A28" s="20"/>
      <c r="B28" s="49" t="s">
        <v>45</v>
      </c>
      <c r="C28" s="50" t="inlineStr">
        <is>
          <t>和合</t>
        </is>
      </c>
      <c r="D28" s="51">
        <v>0.8</v>
      </c>
      <c r="E28" s="52">
        <v>46326</v>
      </c>
      <c r="F28" s="52">
        <v>46329</v>
      </c>
      <c r="G28" s="36"/>
      <c r="H28" s="36" t="e">
        <f ca="1">IF(OR(ISBLANK(タスク_開始),ISBLANK(タスク_終了)),"",タスク_終了-タスク_開始+1)</f>
        <v>#VALUE!</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s="37" customFormat="1" ht="30" customHeight="1">
      <c r="A29" s="20"/>
      <c r="B29" s="49" t="s">
        <v>46</v>
      </c>
      <c r="C29" s="50" t="inlineStr">
        <is>
          <t>和合</t>
        </is>
      </c>
      <c r="D29" s="51">
        <v>0.8</v>
      </c>
      <c r="E29" s="52">
        <v>46330</v>
      </c>
      <c r="F29" s="52">
        <v>46332</v>
      </c>
      <c r="G29" s="36"/>
      <c r="H29" s="36" t="e">
        <f ca="1">IF(OR(ISBLANK(タスク_開始),ISBLANK(タスク_終了)),"",タスク_終了-タスク_開始+1)</f>
        <v>#VALUE!</v>
      </c>
      <c r="I29" s="30"/>
      <c r="J29" s="30"/>
      <c r="K29" s="30"/>
      <c r="L29" s="30"/>
      <c r="M29" s="30"/>
      <c r="N29" s="30"/>
      <c r="O29" s="30"/>
      <c r="P29" s="30"/>
      <c r="Q29" s="30"/>
      <c r="R29" s="30"/>
      <c r="S29" s="30"/>
      <c r="T29" s="30"/>
      <c r="U29" s="42"/>
      <c r="V29" s="42"/>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s="37" customFormat="1" ht="30" customHeight="1">
      <c r="A30" s="20"/>
      <c r="B30" s="49" t="s">
        <v>47</v>
      </c>
      <c r="C30" s="50" t="inlineStr">
        <is>
          <t>上釜</t>
        </is>
      </c>
      <c r="D30" s="51">
        <v>0.8</v>
      </c>
      <c r="E30" s="52">
        <v>46329</v>
      </c>
      <c r="F30" s="52">
        <v>46331</v>
      </c>
      <c r="G30" s="36"/>
      <c r="H30" s="36" t="e">
        <f ca="1">IF(OR(ISBLANK(タスク_開始),ISBLANK(タスク_終了)),"",タスク_終了-タスク_開始+1)</f>
        <v>#VALUE!</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row>
    <row r="31" spans="1:64" s="37" customFormat="1" ht="30" customHeight="1">
      <c r="A31" s="20"/>
      <c r="B31" s="49" t="s">
        <v>48</v>
      </c>
      <c r="C31" s="50" t="inlineStr">
        <is>
          <t>上釜</t>
        </is>
      </c>
      <c r="D31" s="51">
        <v>0.8</v>
      </c>
      <c r="E31" s="52">
        <v>46325</v>
      </c>
      <c r="F31" s="52">
        <v>46328</v>
      </c>
      <c r="G31" s="36"/>
      <c r="H31" s="36" t="e">
        <f ca="1">IF(OR(ISBLANK(タスク_開始),ISBLANK(タスク_終了)),"",タスク_終了-タスク_開始+1)</f>
        <v>#VALUE!</v>
      </c>
      <c r="I31" s="30"/>
      <c r="J31" s="30"/>
      <c r="K31" s="30"/>
      <c r="L31" s="30"/>
      <c r="M31" s="30"/>
      <c r="N31" s="30"/>
      <c r="O31" s="30"/>
      <c r="P31" s="30"/>
      <c r="Q31" s="30"/>
      <c r="R31" s="30"/>
      <c r="S31" s="30"/>
      <c r="T31" s="30"/>
      <c r="U31" s="30"/>
      <c r="V31" s="30"/>
      <c r="W31" s="30"/>
      <c r="X31" s="30"/>
      <c r="Y31" s="42"/>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s="37" customFormat="1" ht="30" customHeight="1">
      <c r="A32" s="20"/>
      <c r="B32" s="49" t="s">
        <v>49</v>
      </c>
      <c r="C32" s="50" t="inlineStr">
        <is>
          <t>江副</t>
        </is>
      </c>
      <c r="D32" s="51">
        <v>0.8</v>
      </c>
      <c r="E32" s="52">
        <v>46323</v>
      </c>
      <c r="F32" s="52">
        <v>46324</v>
      </c>
      <c r="G32" s="36"/>
      <c r="H32" s="36" t="e">
        <f ca="1">IF(OR(ISBLANK(タスク_開始),ISBLANK(タスク_終了)),"",タスク_終了-タスク_開始+1)</f>
        <v>#VALUE!</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s="37" customFormat="1" ht="30" customHeight="1">
      <c r="A33" s="20"/>
      <c r="B33" s="49" t="s">
        <v>50</v>
      </c>
      <c r="C33" s="50" t="inlineStr">
        <is>
          <t>江副</t>
        </is>
      </c>
      <c r="D33" s="51">
        <v>0.8</v>
      </c>
      <c r="E33" s="52">
        <v>46325</v>
      </c>
      <c r="F33" s="52">
        <v>46328</v>
      </c>
      <c r="G33" s="36"/>
      <c r="H33" s="36" t="e">
        <f t="shared" ca="1" si="5"/>
        <v>#VALUE!</v>
      </c>
      <c r="I33" s="30"/>
      <c r="J33" s="30"/>
      <c r="K33" s="30"/>
      <c r="L33" s="30"/>
      <c r="M33" s="30"/>
      <c r="N33" s="30"/>
      <c r="O33" s="30"/>
      <c r="P33" s="30"/>
      <c r="Q33" s="30"/>
      <c r="R33" s="30"/>
      <c r="S33" s="30"/>
      <c r="T33" s="30"/>
      <c r="U33" s="42"/>
      <c r="V33" s="42"/>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row>
    <row r="34" spans="1:64" s="37" customFormat="1" ht="30" customHeight="1">
      <c r="A34" s="20"/>
      <c r="B34" s="49" t="s">
        <v>51</v>
      </c>
      <c r="C34" s="50" t="inlineStr">
        <is>
          <t>和合</t>
        </is>
      </c>
      <c r="D34" s="51">
        <v>0.8</v>
      </c>
      <c r="E34" s="52">
        <v>46323</v>
      </c>
      <c r="F34" s="52">
        <v>46325</v>
      </c>
      <c r="G34" s="36"/>
      <c r="H34" s="36" t="e">
        <f t="shared" ca="1" si="5"/>
        <v>#VALUE!</v>
      </c>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row>
    <row r="35" spans="1:64" s="37" customFormat="1" ht="30" customHeight="1">
      <c r="A35" s="20"/>
      <c r="B35" s="49" t="s">
        <v>52</v>
      </c>
      <c r="C35" s="50" t="inlineStr">
        <is>
          <t>江副</t>
        </is>
      </c>
      <c r="D35" s="51">
        <v>0.8</v>
      </c>
      <c r="E35" s="52">
        <v>46329</v>
      </c>
      <c r="F35" s="52">
        <v>46331</v>
      </c>
      <c r="G35" s="36"/>
      <c r="H35" s="36" t="e">
        <f t="shared" ca="1" si="5"/>
        <v>#VALUE!</v>
      </c>
      <c r="I35" s="30"/>
      <c r="J35" s="30"/>
      <c r="K35" s="30"/>
      <c r="L35" s="30"/>
      <c r="M35" s="30"/>
      <c r="N35" s="30"/>
      <c r="O35" s="30"/>
      <c r="P35" s="30"/>
      <c r="Q35" s="30"/>
      <c r="R35" s="30"/>
      <c r="S35" s="30"/>
      <c r="T35" s="30"/>
      <c r="U35" s="30"/>
      <c r="V35" s="30"/>
      <c r="W35" s="30"/>
      <c r="X35" s="30"/>
      <c r="Y35" s="42"/>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row>
    <row r="36" spans="1:64" s="37" customFormat="1" ht="30" customHeight="1">
      <c r="A36" s="20"/>
      <c r="B36" s="49" t="inlineStr">
        <is>
          <t>2-10.管理者ログイン機能</t>
        </is>
      </c>
      <c r="C36" s="50" t="inlineStr">
        <is>
          <t>上釜</t>
        </is>
      </c>
      <c r="D36" s="51">
        <v>0.8</v>
      </c>
      <c r="E36" s="52">
        <v>46332</v>
      </c>
      <c r="F36" s="52">
        <v>46335</v>
      </c>
      <c r="G36" s="36"/>
      <c r="H36" s="36" t="e">
        <f t="shared" ca="1" si="5"/>
        <v>#VALUE!</v>
      </c>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row>
    <row r="37" outlineLevel="1" hidden="1" spans="1:64" s="37" customFormat="1" ht="30" customHeight="1">
      <c r="A37" s="20"/>
      <c r="B37" s="49" t="s">
        <v>54</v>
      </c>
      <c r="C37" s="50" t="s">
        <v>44</v>
      </c>
      <c r="D37" s="51" t="s">
        <v>44</v>
      </c>
      <c r="E37" s="52" t="s">
        <v>44</v>
      </c>
      <c r="F37" s="52" t="s">
        <v>44</v>
      </c>
      <c r="G37" s="36"/>
      <c r="H37" s="36" t="e">
        <f ca="1">IF(OR(ISBLANK(タスク_開始),ISBLANK(タスク_終了)),"",タスク_終了-タスク_開始+1)</f>
        <v>#VALUE!</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row>
    <row r="38" outlineLevel="1" hidden="1" spans="1:64" s="37" customFormat="1" ht="30" customHeight="1">
      <c r="A38" s="20"/>
      <c r="B38" s="49" t="s">
        <v>55</v>
      </c>
      <c r="C38" s="50" t="s">
        <v>44</v>
      </c>
      <c r="D38" s="51" t="s">
        <v>44</v>
      </c>
      <c r="E38" s="52" t="s">
        <v>44</v>
      </c>
      <c r="F38" s="52" t="s">
        <v>44</v>
      </c>
      <c r="G38" s="36"/>
      <c r="H38" s="36" t="e">
        <f ca="1">IF(OR(ISBLANK(タスク_開始),ISBLANK(タスク_終了)),"",タスク_終了-タスク_開始+1)</f>
        <v>#VALUE!</v>
      </c>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row>
    <row r="39" outlineLevel="1" hidden="1" spans="1:64" s="37" customFormat="1" ht="30" customHeight="1">
      <c r="A39" s="20"/>
      <c r="B39" s="49" t="s">
        <v>56</v>
      </c>
      <c r="C39" s="50" t="s">
        <v>44</v>
      </c>
      <c r="D39" s="51" t="s">
        <v>44</v>
      </c>
      <c r="E39" s="52" t="s">
        <v>44</v>
      </c>
      <c r="F39" s="52" t="s">
        <v>44</v>
      </c>
      <c r="G39" s="36"/>
      <c r="H39" s="36" t="e">
        <f ca="1">IF(OR(ISBLANK(タスク_開始),ISBLANK(タスク_終了)),"",タスク_終了-タスク_開始+1)</f>
        <v>#VALUE!</v>
      </c>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row>
    <row r="40" outlineLevel="1" hidden="1" spans="1:64" s="37" customFormat="1" ht="30" customHeight="1">
      <c r="A40" s="20"/>
      <c r="B40" s="49" t="s">
        <v>57</v>
      </c>
      <c r="C40" s="50" t="s">
        <v>44</v>
      </c>
      <c r="D40" s="51" t="s">
        <v>44</v>
      </c>
      <c r="E40" s="52" t="s">
        <v>44</v>
      </c>
      <c r="F40" s="52" t="s">
        <v>44</v>
      </c>
      <c r="G40" s="36"/>
      <c r="H40" s="36" t="e">
        <f ca="1">IF(OR(ISBLANK(タスク_開始),ISBLANK(タスク_終了)),"",タスク_終了-タスク_開始+1)</f>
        <v>#VALUE!</v>
      </c>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row>
    <row r="41" outlineLevel="1" hidden="1" spans="1:64" s="37" customFormat="1" ht="30" customHeight="1">
      <c r="A41" s="20"/>
      <c r="B41" s="49" t="s">
        <v>58</v>
      </c>
      <c r="C41" s="50" t="s">
        <v>44</v>
      </c>
      <c r="D41" s="51" t="s">
        <v>44</v>
      </c>
      <c r="E41" s="52" t="s">
        <v>44</v>
      </c>
      <c r="F41" s="52" t="s">
        <v>44</v>
      </c>
      <c r="G41" s="36"/>
      <c r="H41" s="36" t="e">
        <f ca="1">IF(OR(ISBLANK(タスク_開始),ISBLANK(タスク_終了)),"",タスク_終了-タスク_開始+1)</f>
        <v>#VALUE!</v>
      </c>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row>
    <row r="42" outlineLevel="1" hidden="1" spans="1:64" s="37" customFormat="1" ht="30" customHeight="1">
      <c r="A42" s="20"/>
      <c r="B42" s="49" t="s">
        <v>59</v>
      </c>
      <c r="C42" s="50" t="s">
        <v>44</v>
      </c>
      <c r="D42" s="51" t="s">
        <v>44</v>
      </c>
      <c r="E42" s="52" t="s">
        <v>44</v>
      </c>
      <c r="F42" s="52" t="s">
        <v>44</v>
      </c>
      <c r="G42" s="36"/>
      <c r="H42" s="36" t="e">
        <f ca="1">IF(OR(ISBLANK(タスク_開始),ISBLANK(タスク_終了)),"",タスク_終了-タスク_開始+1)</f>
        <v>#VALUE!</v>
      </c>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row>
    <row r="43" outlineLevel="1" hidden="1" spans="1:64" s="37" customFormat="1" ht="30" customHeight="1">
      <c r="A43" s="20"/>
      <c r="B43" s="49" t="s">
        <v>60</v>
      </c>
      <c r="C43" s="50" t="s">
        <v>44</v>
      </c>
      <c r="D43" s="51" t="s">
        <v>44</v>
      </c>
      <c r="E43" s="52" t="s">
        <v>44</v>
      </c>
      <c r="F43" s="52" t="s">
        <v>44</v>
      </c>
      <c r="G43" s="36"/>
      <c r="H43" s="36" t="e">
        <f ca="1">IF(OR(ISBLANK(タスク_開始),ISBLANK(タスク_終了)),"",タスク_終了-タスク_開始+1)</f>
        <v>#VALUE!</v>
      </c>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row>
    <row r="44" outlineLevel="1" hidden="1" spans="1:64" s="37" customFormat="1" ht="30" customHeight="1">
      <c r="A44" s="20"/>
      <c r="B44" s="49" t="s">
        <v>61</v>
      </c>
      <c r="C44" s="50" t="s">
        <v>44</v>
      </c>
      <c r="D44" s="51" t="s">
        <v>44</v>
      </c>
      <c r="E44" s="52" t="s">
        <v>44</v>
      </c>
      <c r="F44" s="52" t="s">
        <v>44</v>
      </c>
      <c r="G44" s="36"/>
      <c r="H44" s="36" t="e">
        <f ca="1">IF(OR(ISBLANK(タスク_開始),ISBLANK(タスク_終了)),"",タスク_終了-タスク_開始+1)</f>
        <v>#VALUE!</v>
      </c>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row>
    <row r="45" outlineLevel="1" hidden="1" spans="1:64" s="37" customFormat="1" ht="30" customHeight="1">
      <c r="A45" s="20"/>
      <c r="B45" s="49" t="s">
        <v>62</v>
      </c>
      <c r="C45" s="50" t="s">
        <v>44</v>
      </c>
      <c r="D45" s="51" t="s">
        <v>44</v>
      </c>
      <c r="E45" s="52" t="s">
        <v>44</v>
      </c>
      <c r="F45" s="52" t="s">
        <v>44</v>
      </c>
      <c r="G45" s="36"/>
      <c r="H45" s="36" t="e">
        <f ca="1">IF(OR(ISBLANK(タスク_開始),ISBLANK(タスク_終了)),"",タスク_終了-タスク_開始+1)</f>
        <v>#VALUE!</v>
      </c>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row>
    <row r="46" outlineLevel="1" hidden="1" spans="1:64" s="37" customFormat="1" ht="30" customHeight="1">
      <c r="A46" s="20"/>
      <c r="B46" s="49" t="s">
        <v>63</v>
      </c>
      <c r="C46" s="50" t="s">
        <v>44</v>
      </c>
      <c r="D46" s="51" t="s">
        <v>44</v>
      </c>
      <c r="E46" s="52" t="s">
        <v>44</v>
      </c>
      <c r="F46" s="52" t="s">
        <v>44</v>
      </c>
      <c r="G46" s="36"/>
      <c r="H46" s="36" t="e">
        <f ca="1">IF(OR(ISBLANK(タスク_開始),ISBLANK(タスク_終了)),"",タスク_終了-タスク_開始+1)</f>
        <v>#VALUE!</v>
      </c>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row>
    <row r="47" outlineLevel="1" hidden="1" spans="1:64" s="37" customFormat="1" ht="30" customHeight="1">
      <c r="A47" s="20"/>
      <c r="B47" s="49" t="s">
        <v>64</v>
      </c>
      <c r="C47" s="50" t="s">
        <v>44</v>
      </c>
      <c r="D47" s="51" t="s">
        <v>44</v>
      </c>
      <c r="E47" s="52" t="s">
        <v>44</v>
      </c>
      <c r="F47" s="52" t="s">
        <v>44</v>
      </c>
      <c r="G47" s="36"/>
      <c r="H47" s="36" t="e">
        <f ca="1">IF(OR(ISBLANK(タスク_開始),ISBLANK(タスク_終了)),"",タスク_終了-タスク_開始+1)</f>
        <v>#VALUE!</v>
      </c>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row>
    <row r="48" outlineLevel="1" hidden="1" spans="1:64" s="37" customFormat="1" ht="30" customHeight="1">
      <c r="A48" s="20"/>
      <c r="B48" s="49" t="s">
        <v>65</v>
      </c>
      <c r="C48" s="50" t="s">
        <v>44</v>
      </c>
      <c r="D48" s="51" t="s">
        <v>44</v>
      </c>
      <c r="E48" s="52" t="s">
        <v>44</v>
      </c>
      <c r="F48" s="52" t="s">
        <v>44</v>
      </c>
      <c r="G48" s="36"/>
      <c r="H48" s="36" t="e">
        <f ca="1">IF(OR(ISBLANK(タスク_開始),ISBLANK(タスク_終了)),"",タスク_終了-タスク_開始+1)</f>
        <v>#VALUE!</v>
      </c>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row>
    <row r="49" outlineLevel="1" hidden="1" spans="1:64" s="37" customFormat="1" ht="30" customHeight="1">
      <c r="A49" s="20"/>
      <c r="B49" s="49" t="s">
        <v>66</v>
      </c>
      <c r="C49" s="50" t="s">
        <v>44</v>
      </c>
      <c r="D49" s="51" t="s">
        <v>44</v>
      </c>
      <c r="E49" s="52" t="s">
        <v>44</v>
      </c>
      <c r="F49" s="52" t="s">
        <v>44</v>
      </c>
      <c r="G49" s="36"/>
      <c r="H49" s="36" t="e">
        <f ca="1">IF(OR(ISBLANK(タスク_開始),ISBLANK(タスク_終了)),"",タスク_終了-タスク_開始+1)</f>
        <v>#VALUE!</v>
      </c>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row>
    <row r="50" outlineLevel="1" hidden="1" spans="1:64" s="37" customFormat="1" ht="30" customHeight="1">
      <c r="A50" s="20"/>
      <c r="B50" s="49" t="s">
        <v>67</v>
      </c>
      <c r="C50" s="50" t="s">
        <v>44</v>
      </c>
      <c r="D50" s="51" t="s">
        <v>44</v>
      </c>
      <c r="E50" s="52" t="s">
        <v>44</v>
      </c>
      <c r="F50" s="52" t="s">
        <v>44</v>
      </c>
      <c r="G50" s="36"/>
      <c r="H50" s="36" t="e">
        <f ca="1">IF(OR(ISBLANK(タスク_開始),ISBLANK(タスク_終了)),"",タスク_終了-タスク_開始+1)</f>
        <v>#VALUE!</v>
      </c>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row>
    <row r="51" outlineLevel="1" hidden="1" spans="1:64" s="37" customFormat="1" ht="30" customHeight="1">
      <c r="A51" s="20"/>
      <c r="B51" s="49" t="s">
        <v>68</v>
      </c>
      <c r="C51" s="50" t="s">
        <v>44</v>
      </c>
      <c r="D51" s="51" t="s">
        <v>44</v>
      </c>
      <c r="E51" s="52" t="s">
        <v>44</v>
      </c>
      <c r="F51" s="52" t="s">
        <v>44</v>
      </c>
      <c r="G51" s="36"/>
      <c r="H51" s="36" t="e">
        <f ca="1">IF(OR(ISBLANK(タスク_開始),ISBLANK(タスク_終了)),"",タスク_終了-タスク_開始+1)</f>
        <v>#VALUE!</v>
      </c>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row>
    <row r="52" outlineLevel="1" hidden="1" spans="1:64" s="37" customFormat="1" ht="30" customHeight="1">
      <c r="A52" s="20"/>
      <c r="B52" s="49" t="s">
        <v>69</v>
      </c>
      <c r="C52" s="50" t="s">
        <v>44</v>
      </c>
      <c r="D52" s="51" t="s">
        <v>44</v>
      </c>
      <c r="E52" s="52" t="s">
        <v>44</v>
      </c>
      <c r="F52" s="52" t="s">
        <v>44</v>
      </c>
      <c r="G52" s="36"/>
      <c r="H52" s="36" t="e">
        <f ca="1">IF(OR(ISBLANK(タスク_開始),ISBLANK(タスク_終了)),"",タスク_終了-タスク_開始+1)</f>
        <v>#VALUE!</v>
      </c>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row>
    <row r="53" outlineLevel="1" hidden="1" spans="1:64" s="37" customFormat="1" ht="30" customHeight="1">
      <c r="A53" s="20"/>
      <c r="B53" s="49" t="s">
        <v>70</v>
      </c>
      <c r="C53" s="50" t="s">
        <v>44</v>
      </c>
      <c r="D53" s="51" t="s">
        <v>44</v>
      </c>
      <c r="E53" s="52" t="s">
        <v>44</v>
      </c>
      <c r="F53" s="52" t="s">
        <v>44</v>
      </c>
      <c r="G53" s="36"/>
      <c r="H53" s="36" t="e">
        <f ca="1">IF(OR(ISBLANK(タスク_開始),ISBLANK(タスク_終了)),"",タスク_終了-タスク_開始+1)</f>
        <v>#VALUE!</v>
      </c>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row>
    <row r="54" outlineLevel="1" hidden="1" spans="1:64" s="37" customFormat="1" ht="30" customHeight="1">
      <c r="A54" s="20"/>
      <c r="B54" s="49" t="s">
        <v>71</v>
      </c>
      <c r="C54" s="50" t="s">
        <v>44</v>
      </c>
      <c r="D54" s="51" t="s">
        <v>44</v>
      </c>
      <c r="E54" s="52" t="s">
        <v>44</v>
      </c>
      <c r="F54" s="52" t="s">
        <v>44</v>
      </c>
      <c r="G54" s="36"/>
      <c r="H54" s="36" t="e">
        <f ca="1">IF(OR(ISBLANK(タスク_開始),ISBLANK(タスク_終了)),"",タスク_終了-タスク_開始+1)</f>
        <v>#VALUE!</v>
      </c>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row>
    <row r="55" outlineLevel="1" hidden="1" spans="1:64" s="37" customFormat="1" ht="30" customHeight="1">
      <c r="A55" s="20"/>
      <c r="B55" s="49" t="s">
        <v>72</v>
      </c>
      <c r="C55" s="50" t="s">
        <v>44</v>
      </c>
      <c r="D55" s="51" t="s">
        <v>44</v>
      </c>
      <c r="E55" s="52" t="s">
        <v>44</v>
      </c>
      <c r="F55" s="52" t="s">
        <v>44</v>
      </c>
      <c r="G55" s="36"/>
      <c r="H55" s="36" t="e">
        <f ca="1">IF(OR(ISBLANK(タスク_開始),ISBLANK(タスク_終了)),"",タスク_終了-タスク_開始+1)</f>
        <v>#VALUE!</v>
      </c>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row>
    <row r="56" outlineLevel="1" hidden="1" spans="1:64" s="37" customFormat="1" ht="30" customHeight="1">
      <c r="A56" s="20"/>
      <c r="B56" s="49" t="s">
        <v>73</v>
      </c>
      <c r="C56" s="50" t="s">
        <v>44</v>
      </c>
      <c r="D56" s="51" t="s">
        <v>44</v>
      </c>
      <c r="E56" s="52" t="s">
        <v>44</v>
      </c>
      <c r="F56" s="52" t="s">
        <v>44</v>
      </c>
      <c r="G56" s="36"/>
      <c r="H56" s="36" t="e">
        <f ca="1">IF(OR(ISBLANK(タスク_開始),ISBLANK(タスク_終了)),"",タスク_終了-タスク_開始+1)</f>
        <v>#VALUE!</v>
      </c>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row>
    <row r="57" collapsed="1" spans="1:64" s="37" customFormat="1" ht="30" customHeight="1">
      <c r="A57" s="20" t="s">
        <v>74</v>
      </c>
      <c r="B57" s="53" t="s">
        <v>75</v>
      </c>
      <c r="C57" s="54"/>
      <c r="D57" s="55"/>
      <c r="E57" s="56"/>
      <c r="F57" s="57"/>
      <c r="G57" s="36"/>
      <c r="H57" s="36" t="str">
        <f t="shared" ca="1" si="5"/>
        <v/>
      </c>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row>
    <row r="58" spans="1:64" s="37" customFormat="1" ht="30" customHeight="1">
      <c r="A58" s="20"/>
      <c r="B58" s="58" t="s">
        <v>76</v>
      </c>
      <c r="C58" s="59" t="inlineStr">
        <is>
          <t>江副</t>
        </is>
      </c>
      <c r="D58" s="60">
        <v>0.8</v>
      </c>
      <c r="E58" s="61">
        <v>46321</v>
      </c>
      <c r="F58" s="61">
        <v>46323</v>
      </c>
      <c r="G58" s="36"/>
      <c r="H58" s="36" t="e">
        <f t="shared" ca="1" si="5"/>
        <v>#VALUE!</v>
      </c>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row>
    <row r="59" spans="1:64" s="37" customFormat="1" ht="30" customHeight="1">
      <c r="A59" s="20"/>
      <c r="B59" s="58" t="s">
        <v>77</v>
      </c>
      <c r="C59" s="59" t="inlineStr">
        <is>
          <t>江副</t>
        </is>
      </c>
      <c r="D59" s="60">
        <v>0.8</v>
      </c>
      <c r="E59" s="61">
        <v>46324</v>
      </c>
      <c r="F59" s="61">
        <v>46325</v>
      </c>
      <c r="G59" s="36"/>
      <c r="H59" s="36" t="e">
        <f t="shared" ca="1" si="5"/>
        <v>#VALUE!</v>
      </c>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row>
    <row r="60" spans="1:64" s="37" customFormat="1" ht="30" customHeight="1">
      <c r="A60" s="20"/>
      <c r="B60" s="58" t="s">
        <v>78</v>
      </c>
      <c r="C60" s="59" t="inlineStr">
        <is>
          <t>全員</t>
        </is>
      </c>
      <c r="D60" s="60">
        <v>0.8</v>
      </c>
      <c r="E60" s="61">
        <v>46330</v>
      </c>
      <c r="F60" s="61">
        <v>46338</v>
      </c>
      <c r="G60" s="36"/>
      <c r="H60" s="36" t="e">
        <f ca="1">IF(OR(ISBLANK(タスク_開始),ISBLANK(タスク_終了)),"",タスク_終了-タスク_開始+1)</f>
        <v>#VALUE!</v>
      </c>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row>
    <row r="61" spans="1:64" s="37" customFormat="1" ht="30" customHeight="1">
      <c r="A61" s="20"/>
      <c r="B61" s="58" t="inlineStr">
        <is>
          <t>3-01.カスタム画面（SCR-01）</t>
        </is>
      </c>
      <c r="C61" s="59" t="inlineStr">
        <is>
          <t>江副</t>
        </is>
      </c>
      <c r="D61" s="60">
        <v>0.8</v>
      </c>
      <c r="E61" s="61">
        <v>46330</v>
      </c>
      <c r="F61" s="61">
        <v>46332</v>
      </c>
      <c r="G61" s="36"/>
      <c r="H61" s="36" t="e">
        <f t="shared" ca="1" si="5"/>
        <v>#VALUE!</v>
      </c>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row>
    <row r="62" spans="1:64" s="37" customFormat="1" ht="30" customHeight="1">
      <c r="A62" s="20"/>
      <c r="B62" s="58" t="inlineStr">
        <is>
          <t>3-02.比較画面（SCR-02）</t>
        </is>
      </c>
      <c r="C62" s="59" t="inlineStr">
        <is>
          <t>江副</t>
        </is>
      </c>
      <c r="D62" s="60">
        <v>0.8</v>
      </c>
      <c r="E62" s="61">
        <v>46332</v>
      </c>
      <c r="F62" s="61">
        <v>46335</v>
      </c>
      <c r="G62" s="36"/>
      <c r="H62" s="36" t="e">
        <f ca="1">IF(OR(ISBLANK(タスク_開始),ISBLANK(タスク_終了)),"",タスク_終了-タスク_開始+1)</f>
        <v>#VALUE!</v>
      </c>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row>
    <row r="63" spans="1:64" s="37" customFormat="1" ht="30" customHeight="1">
      <c r="A63" s="20"/>
      <c r="B63" s="58" t="inlineStr">
        <is>
          <t>3-03.保存一覧画面（SCR-03）</t>
        </is>
      </c>
      <c r="C63" s="59" t="inlineStr">
        <is>
          <t>和合</t>
        </is>
      </c>
      <c r="D63" s="60">
        <v>0.8</v>
      </c>
      <c r="E63" s="61">
        <v>46332</v>
      </c>
      <c r="F63" s="61">
        <v>46335</v>
      </c>
      <c r="G63" s="36"/>
      <c r="H63" s="36" t="e">
        <f ca="1">IF(OR(ISBLANK(タスク_開始),ISBLANK(タスク_終了)),"",タスク_終了-タスク_開始+1)</f>
        <v>#VALUE!</v>
      </c>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row>
    <row r="64" spans="1:64" s="37" customFormat="1" ht="30" customHeight="1">
      <c r="A64" s="20"/>
      <c r="B64" s="58" t="inlineStr">
        <is>
          <t>3-04.PDF出力画面（SCR-04）</t>
        </is>
      </c>
      <c r="C64" s="59" t="inlineStr">
        <is>
          <t>江副</t>
        </is>
      </c>
      <c r="D64" s="60">
        <v>0.8</v>
      </c>
      <c r="E64" s="61">
        <v>46335</v>
      </c>
      <c r="F64" s="61">
        <v>46336</v>
      </c>
      <c r="G64" s="36"/>
      <c r="H64" s="36" t="e">
        <f ca="1">IF(OR(ISBLANK(タスク_開始),ISBLANK(タスク_終了)),"",タスク_終了-タスク_開始+1)</f>
        <v>#VALUE!</v>
      </c>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row>
    <row r="65" spans="1:64" s="37" customFormat="1" ht="30" customHeight="1">
      <c r="A65" s="20"/>
      <c r="B65" s="58" t="inlineStr">
        <is>
          <t>3-05.管理者ログイン画面（SCR-05）</t>
        </is>
      </c>
      <c r="C65" s="59" t="inlineStr">
        <is>
          <t>上釜</t>
        </is>
      </c>
      <c r="D65" s="60">
        <v>0.8</v>
      </c>
      <c r="E65" s="61">
        <v>46335</v>
      </c>
      <c r="F65" s="61">
        <v>46336</v>
      </c>
      <c r="G65" s="36"/>
      <c r="H65" s="36" t="e">
        <f ca="1">IF(OR(ISBLANK(タスク_開始),ISBLANK(タスク_終了)),"",タスク_終了-タスク_開始+1)</f>
        <v>#VALUE!</v>
      </c>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row>
    <row r="66" spans="1:64" s="37" customFormat="1" ht="30" customHeight="1">
      <c r="A66" s="20"/>
      <c r="B66" s="58" t="inlineStr">
        <is>
          <t>3-06.ベース車両追加画面（SCR-06）</t>
        </is>
      </c>
      <c r="C66" s="59" t="inlineStr">
        <is>
          <t>和合</t>
        </is>
      </c>
      <c r="D66" s="60">
        <v>0.8</v>
      </c>
      <c r="E66" s="61">
        <v>46335</v>
      </c>
      <c r="F66" s="61">
        <v>46337</v>
      </c>
      <c r="G66" s="36"/>
      <c r="H66" s="36" t="e">
        <f ca="1">IF(OR(ISBLANK(タスク_開始),ISBLANK(タスク_終了)),"",タスク_終了-タスク_開始+1)</f>
        <v>#VALUE!</v>
      </c>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row>
    <row r="67" spans="1:64" s="37" customFormat="1" ht="30" customHeight="1">
      <c r="A67" s="20"/>
      <c r="B67" s="58" t="inlineStr">
        <is>
          <t>3-07.パーツ追加画面（SCR-07）</t>
        </is>
      </c>
      <c r="C67" s="59" t="inlineStr">
        <is>
          <t>和合</t>
        </is>
      </c>
      <c r="D67" s="60">
        <v>0.8</v>
      </c>
      <c r="E67" s="61">
        <v>46336</v>
      </c>
      <c r="F67" s="61">
        <v>46338</v>
      </c>
      <c r="G67" s="36"/>
      <c r="H67" s="36" t="e">
        <f ca="1">IF(OR(ISBLANK(タスク_開始),ISBLANK(タスク_終了)),"",タスク_終了-タスク_開始+1)</f>
        <v>#VALUE!</v>
      </c>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row>
    <row r="68" outlineLevel="1" hidden="1" spans="1:64" s="37" customFormat="1" ht="30" customHeight="1">
      <c r="A68" s="20"/>
      <c r="B68" s="58" t="s">
        <v>86</v>
      </c>
      <c r="C68" s="59" t="s">
        <v>44</v>
      </c>
      <c r="D68" s="60" t="s">
        <v>44</v>
      </c>
      <c r="E68" s="61" t="s">
        <v>44</v>
      </c>
      <c r="F68" s="61" t="s">
        <v>44</v>
      </c>
      <c r="G68" s="36"/>
      <c r="H68" s="36" t="e">
        <f t="shared" ca="1" si="5"/>
        <v>#VALUE!</v>
      </c>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row>
    <row r="69" outlineLevel="1" hidden="1" spans="1:64" s="37" customFormat="1" ht="30" customHeight="1">
      <c r="A69" s="20"/>
      <c r="B69" s="58" t="s">
        <v>87</v>
      </c>
      <c r="C69" s="59" t="s">
        <v>44</v>
      </c>
      <c r="D69" s="60" t="s">
        <v>44</v>
      </c>
      <c r="E69" s="61" t="s">
        <v>44</v>
      </c>
      <c r="F69" s="61" t="s">
        <v>44</v>
      </c>
      <c r="G69" s="36"/>
      <c r="H69" s="36" t="e">
        <f ca="1">IF(OR(ISBLANK(タスク_開始),ISBLANK(タスク_終了)),"",タスク_終了-タスク_開始+1)</f>
        <v>#VALUE!</v>
      </c>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row>
    <row r="70" outlineLevel="1" hidden="1" spans="1:64" s="37" customFormat="1" ht="30" customHeight="1">
      <c r="A70" s="20"/>
      <c r="B70" s="58" t="s">
        <v>88</v>
      </c>
      <c r="C70" s="59" t="s">
        <v>44</v>
      </c>
      <c r="D70" s="60" t="s">
        <v>44</v>
      </c>
      <c r="E70" s="61" t="s">
        <v>44</v>
      </c>
      <c r="F70" s="61" t="s">
        <v>44</v>
      </c>
      <c r="G70" s="36"/>
      <c r="H70" s="36" t="e">
        <f ca="1">IF(OR(ISBLANK(タスク_開始),ISBLANK(タスク_終了)),"",タスク_終了-タスク_開始+1)</f>
        <v>#VALUE!</v>
      </c>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row>
    <row r="71" outlineLevel="1" hidden="1" spans="1:64" s="37" customFormat="1" ht="30" customHeight="1">
      <c r="A71" s="20"/>
      <c r="B71" s="58" t="s">
        <v>89</v>
      </c>
      <c r="C71" s="59" t="s">
        <v>44</v>
      </c>
      <c r="D71" s="60" t="s">
        <v>44</v>
      </c>
      <c r="E71" s="61" t="s">
        <v>44</v>
      </c>
      <c r="F71" s="61" t="s">
        <v>44</v>
      </c>
      <c r="G71" s="36"/>
      <c r="H71" s="36" t="e">
        <f ca="1">IF(OR(ISBLANK(タスク_開始),ISBLANK(タスク_終了)),"",タスク_終了-タスク_開始+1)</f>
        <v>#VALUE!</v>
      </c>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row>
    <row r="72" outlineLevel="1" hidden="1" spans="1:64" s="37" customFormat="1" ht="30" customHeight="1">
      <c r="A72" s="20"/>
      <c r="B72" s="58" t="s">
        <v>90</v>
      </c>
      <c r="C72" s="59" t="s">
        <v>44</v>
      </c>
      <c r="D72" s="60" t="s">
        <v>44</v>
      </c>
      <c r="E72" s="61" t="s">
        <v>44</v>
      </c>
      <c r="F72" s="61" t="s">
        <v>44</v>
      </c>
      <c r="G72" s="36"/>
      <c r="H72" s="36" t="e">
        <f ca="1">IF(OR(ISBLANK(タスク_開始),ISBLANK(タスク_終了)),"",タスク_終了-タスク_開始+1)</f>
        <v>#VALUE!</v>
      </c>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row>
    <row r="73" outlineLevel="1" hidden="1" spans="1:64" s="37" customFormat="1" ht="30" customHeight="1">
      <c r="A73" s="20"/>
      <c r="B73" s="58" t="s">
        <v>91</v>
      </c>
      <c r="C73" s="59" t="s">
        <v>44</v>
      </c>
      <c r="D73" s="60" t="s">
        <v>44</v>
      </c>
      <c r="E73" s="61" t="s">
        <v>44</v>
      </c>
      <c r="F73" s="61" t="s">
        <v>44</v>
      </c>
      <c r="G73" s="36"/>
      <c r="H73" s="36" t="e">
        <f ca="1">IF(OR(ISBLANK(タスク_開始),ISBLANK(タスク_終了)),"",タスク_終了-タスク_開始+1)</f>
        <v>#VALUE!</v>
      </c>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row>
    <row r="74" outlineLevel="1" hidden="1" spans="1:64" s="37" customFormat="1" ht="30" customHeight="1">
      <c r="A74" s="20"/>
      <c r="B74" s="58" t="s">
        <v>92</v>
      </c>
      <c r="C74" s="59" t="s">
        <v>44</v>
      </c>
      <c r="D74" s="60" t="s">
        <v>44</v>
      </c>
      <c r="E74" s="61" t="s">
        <v>44</v>
      </c>
      <c r="F74" s="61" t="s">
        <v>44</v>
      </c>
      <c r="G74" s="36"/>
      <c r="H74" s="36" t="e">
        <f ca="1">IF(OR(ISBLANK(タスク_開始),ISBLANK(タスク_終了)),"",タスク_終了-タスク_開始+1)</f>
        <v>#VALUE!</v>
      </c>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row>
    <row r="75" outlineLevel="1" hidden="1" spans="1:64" s="37" customFormat="1" ht="30" customHeight="1">
      <c r="A75" s="20"/>
      <c r="B75" s="58" t="s">
        <v>93</v>
      </c>
      <c r="C75" s="59" t="s">
        <v>44</v>
      </c>
      <c r="D75" s="60" t="s">
        <v>44</v>
      </c>
      <c r="E75" s="61" t="s">
        <v>44</v>
      </c>
      <c r="F75" s="61" t="s">
        <v>44</v>
      </c>
      <c r="G75" s="36"/>
      <c r="H75" s="36" t="e">
        <f ca="1">IF(OR(ISBLANK(タスク_開始),ISBLANK(タスク_終了)),"",タスク_終了-タスク_開始+1)</f>
        <v>#VALUE!</v>
      </c>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row>
    <row r="76" outlineLevel="1" hidden="1" spans="1:64" s="37" customFormat="1" ht="30" customHeight="1">
      <c r="A76" s="20"/>
      <c r="B76" s="58" t="s">
        <v>94</v>
      </c>
      <c r="C76" s="59" t="s">
        <v>44</v>
      </c>
      <c r="D76" s="60" t="s">
        <v>44</v>
      </c>
      <c r="E76" s="61" t="s">
        <v>44</v>
      </c>
      <c r="F76" s="61" t="s">
        <v>44</v>
      </c>
      <c r="G76" s="36"/>
      <c r="H76" s="36" t="e">
        <f ca="1">IF(OR(ISBLANK(タスク_開始),ISBLANK(タスク_終了)),"",タスク_終了-タスク_開始+1)</f>
        <v>#VALUE!</v>
      </c>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row>
    <row r="77" outlineLevel="1" hidden="1" spans="1:64" s="37" customFormat="1" ht="30" customHeight="1">
      <c r="A77" s="20"/>
      <c r="B77" s="58" t="s">
        <v>95</v>
      </c>
      <c r="C77" s="59" t="s">
        <v>44</v>
      </c>
      <c r="D77" s="60" t="s">
        <v>44</v>
      </c>
      <c r="E77" s="61" t="s">
        <v>44</v>
      </c>
      <c r="F77" s="61" t="s">
        <v>44</v>
      </c>
      <c r="G77" s="36"/>
      <c r="H77" s="36" t="e">
        <f ca="1">IF(OR(ISBLANK(タスク_開始),ISBLANK(タスク_終了)),"",タスク_終了-タスク_開始+1)</f>
        <v>#VALUE!</v>
      </c>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row>
    <row r="78" outlineLevel="1" hidden="1" spans="1:64" s="37" customFormat="1" ht="30" customHeight="1">
      <c r="A78" s="20"/>
      <c r="B78" s="58" t="s">
        <v>96</v>
      </c>
      <c r="C78" s="59" t="s">
        <v>44</v>
      </c>
      <c r="D78" s="60" t="s">
        <v>44</v>
      </c>
      <c r="E78" s="61" t="s">
        <v>44</v>
      </c>
      <c r="F78" s="61" t="s">
        <v>44</v>
      </c>
      <c r="G78" s="36"/>
      <c r="H78" s="36" t="e">
        <f ca="1">IF(OR(ISBLANK(タスク_開始),ISBLANK(タスク_終了)),"",タスク_終了-タスク_開始+1)</f>
        <v>#VALUE!</v>
      </c>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row>
    <row r="79" outlineLevel="1" hidden="1" spans="1:64" s="37" customFormat="1" ht="30" customHeight="1">
      <c r="A79" s="20"/>
      <c r="B79" s="58" t="s">
        <v>97</v>
      </c>
      <c r="C79" s="59" t="s">
        <v>44</v>
      </c>
      <c r="D79" s="60" t="s">
        <v>44</v>
      </c>
      <c r="E79" s="61" t="s">
        <v>44</v>
      </c>
      <c r="F79" s="61" t="s">
        <v>44</v>
      </c>
      <c r="G79" s="36"/>
      <c r="H79" s="36" t="e">
        <f ca="1">IF(OR(ISBLANK(タスク_開始),ISBLANK(タスク_終了)),"",タスク_終了-タスク_開始+1)</f>
        <v>#VALUE!</v>
      </c>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row>
    <row r="80" outlineLevel="1" hidden="1" spans="1:64" s="37" customFormat="1" ht="30" customHeight="1">
      <c r="A80" s="20"/>
      <c r="B80" s="58" t="s">
        <v>98</v>
      </c>
      <c r="C80" s="59" t="s">
        <v>44</v>
      </c>
      <c r="D80" s="60" t="s">
        <v>44</v>
      </c>
      <c r="E80" s="61" t="s">
        <v>44</v>
      </c>
      <c r="F80" s="61" t="s">
        <v>44</v>
      </c>
      <c r="G80" s="36"/>
      <c r="H80" s="36" t="e">
        <f ca="1">IF(OR(ISBLANK(タスク_開始),ISBLANK(タスク_終了)),"",タスク_終了-タスク_開始+1)</f>
        <v>#VALUE!</v>
      </c>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row>
    <row r="81" outlineLevel="1" hidden="1" spans="1:64" s="37" customFormat="1" ht="30" customHeight="1">
      <c r="A81" s="20"/>
      <c r="B81" s="58" t="s">
        <v>99</v>
      </c>
      <c r="C81" s="59" t="s">
        <v>44</v>
      </c>
      <c r="D81" s="60" t="s">
        <v>44</v>
      </c>
      <c r="E81" s="61" t="s">
        <v>44</v>
      </c>
      <c r="F81" s="61" t="s">
        <v>44</v>
      </c>
      <c r="G81" s="36"/>
      <c r="H81" s="36" t="e">
        <f ca="1">IF(OR(ISBLANK(タスク_開始),ISBLANK(タスク_終了)),"",タスク_終了-タスク_開始+1)</f>
        <v>#VALUE!</v>
      </c>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row>
    <row r="82" outlineLevel="1" hidden="1" spans="1:64" s="37" customFormat="1" ht="30" customHeight="1">
      <c r="A82" s="20"/>
      <c r="B82" s="58" t="s">
        <v>100</v>
      </c>
      <c r="C82" s="59" t="s">
        <v>44</v>
      </c>
      <c r="D82" s="60" t="s">
        <v>44</v>
      </c>
      <c r="E82" s="61" t="s">
        <v>44</v>
      </c>
      <c r="F82" s="61" t="s">
        <v>44</v>
      </c>
      <c r="G82" s="36"/>
      <c r="H82" s="36" t="e">
        <f ca="1">IF(OR(ISBLANK(タスク_開始),ISBLANK(タスク_終了)),"",タスク_終了-タスク_開始+1)</f>
        <v>#VALUE!</v>
      </c>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row>
    <row r="83" outlineLevel="1" hidden="1" spans="1:64" s="37" customFormat="1" ht="30" customHeight="1">
      <c r="A83" s="20"/>
      <c r="B83" s="58" t="s">
        <v>101</v>
      </c>
      <c r="C83" s="59" t="s">
        <v>44</v>
      </c>
      <c r="D83" s="60" t="s">
        <v>44</v>
      </c>
      <c r="E83" s="61" t="s">
        <v>44</v>
      </c>
      <c r="F83" s="61" t="s">
        <v>44</v>
      </c>
      <c r="G83" s="36"/>
      <c r="H83" s="36" t="e">
        <f ca="1">IF(OR(ISBLANK(タスク_開始),ISBLANK(タスク_終了)),"",タスク_終了-タスク_開始+1)</f>
        <v>#VALUE!</v>
      </c>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row>
    <row r="84" outlineLevel="1" hidden="1" spans="1:64" s="37" customFormat="1" ht="30" customHeight="1">
      <c r="A84" s="20"/>
      <c r="B84" s="58" t="s">
        <v>102</v>
      </c>
      <c r="C84" s="59" t="s">
        <v>44</v>
      </c>
      <c r="D84" s="60" t="s">
        <v>44</v>
      </c>
      <c r="E84" s="61" t="s">
        <v>44</v>
      </c>
      <c r="F84" s="61" t="s">
        <v>44</v>
      </c>
      <c r="G84" s="36"/>
      <c r="H84" s="36" t="e">
        <f ca="1">IF(OR(ISBLANK(タスク_開始),ISBLANK(タスク_終了)),"",タスク_終了-タスク_開始+1)</f>
        <v>#VALUE!</v>
      </c>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row>
    <row r="85" outlineLevel="1" hidden="1" spans="1:64" s="37" customFormat="1" ht="30" customHeight="1">
      <c r="A85" s="20"/>
      <c r="B85" s="58" t="s">
        <v>103</v>
      </c>
      <c r="C85" s="59" t="s">
        <v>44</v>
      </c>
      <c r="D85" s="60" t="s">
        <v>44</v>
      </c>
      <c r="E85" s="61" t="s">
        <v>44</v>
      </c>
      <c r="F85" s="61" t="s">
        <v>44</v>
      </c>
      <c r="G85" s="36"/>
      <c r="H85" s="36" t="e">
        <f ca="1">IF(OR(ISBLANK(タスク_開始),ISBLANK(タスク_終了)),"",タスク_終了-タスク_開始+1)</f>
        <v>#VALUE!</v>
      </c>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row>
    <row r="86" outlineLevel="1" hidden="1" spans="1:64" s="37" customFormat="1" ht="30" customHeight="1">
      <c r="A86" s="20"/>
      <c r="B86" s="58" t="s">
        <v>104</v>
      </c>
      <c r="C86" s="59" t="s">
        <v>44</v>
      </c>
      <c r="D86" s="60" t="s">
        <v>44</v>
      </c>
      <c r="E86" s="61" t="s">
        <v>44</v>
      </c>
      <c r="F86" s="61" t="s">
        <v>44</v>
      </c>
      <c r="G86" s="36"/>
      <c r="H86" s="36" t="e">
        <f ca="1">IF(OR(ISBLANK(タスク_開始),ISBLANK(タスク_終了)),"",タスク_終了-タスク_開始+1)</f>
        <v>#VALUE!</v>
      </c>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row>
    <row r="87" outlineLevel="1" hidden="1" spans="1:64" s="37" customFormat="1" ht="30" customHeight="1">
      <c r="A87" s="20"/>
      <c r="B87" s="58" t="s">
        <v>105</v>
      </c>
      <c r="C87" s="59" t="s">
        <v>44</v>
      </c>
      <c r="D87" s="60" t="s">
        <v>44</v>
      </c>
      <c r="E87" s="61" t="s">
        <v>44</v>
      </c>
      <c r="F87" s="61" t="s">
        <v>44</v>
      </c>
      <c r="G87" s="36"/>
      <c r="H87" s="36" t="e">
        <f ca="1">IF(OR(ISBLANK(タスク_開始),ISBLANK(タスク_終了)),"",タスク_終了-タスク_開始+1)</f>
        <v>#VALUE!</v>
      </c>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row>
    <row r="88" outlineLevel="1" hidden="1" spans="1:64" s="37" customFormat="1" ht="30" customHeight="1">
      <c r="A88" s="20"/>
      <c r="B88" s="58" t="s">
        <v>106</v>
      </c>
      <c r="C88" s="59" t="s">
        <v>44</v>
      </c>
      <c r="D88" s="60" t="s">
        <v>44</v>
      </c>
      <c r="E88" s="61" t="s">
        <v>44</v>
      </c>
      <c r="F88" s="61" t="s">
        <v>44</v>
      </c>
      <c r="G88" s="36"/>
      <c r="H88" s="36" t="e">
        <f ca="1">IF(OR(ISBLANK(タスク_開始),ISBLANK(タスク_終了)),"",タスク_終了-タスク_開始+1)</f>
        <v>#VALUE!</v>
      </c>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row>
    <row r="89" outlineLevel="1" hidden="1" spans="1:64" s="37" customFormat="1" ht="30" customHeight="1">
      <c r="A89" s="20"/>
      <c r="B89" s="58" t="s">
        <v>107</v>
      </c>
      <c r="C89" s="59" t="s">
        <v>44</v>
      </c>
      <c r="D89" s="60" t="s">
        <v>44</v>
      </c>
      <c r="E89" s="61" t="s">
        <v>44</v>
      </c>
      <c r="F89" s="61" t="s">
        <v>44</v>
      </c>
      <c r="G89" s="36"/>
      <c r="H89" s="36" t="e">
        <f ca="1">IF(OR(ISBLANK(タスク_開始),ISBLANK(タスク_終了)),"",タスク_終了-タスク_開始+1)</f>
        <v>#VALUE!</v>
      </c>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row>
    <row r="90" outlineLevel="1" hidden="1" spans="1:64" s="37" customFormat="1" ht="30" customHeight="1">
      <c r="A90" s="20"/>
      <c r="B90" s="58" t="s">
        <v>108</v>
      </c>
      <c r="C90" s="59" t="s">
        <v>44</v>
      </c>
      <c r="D90" s="60" t="s">
        <v>44</v>
      </c>
      <c r="E90" s="61" t="s">
        <v>44</v>
      </c>
      <c r="F90" s="61" t="s">
        <v>44</v>
      </c>
      <c r="G90" s="36"/>
      <c r="H90" s="36" t="e">
        <f ca="1">IF(OR(ISBLANK(タスク_開始),ISBLANK(タスク_終了)),"",タスク_終了-タスク_開始+1)</f>
        <v>#VALUE!</v>
      </c>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row>
    <row r="91" collapsed="1" spans="1:64" s="37" customFormat="1" ht="30" customHeight="1">
      <c r="A91" s="20" t="s">
        <v>74</v>
      </c>
      <c r="B91" s="62" t="s">
        <v>109</v>
      </c>
      <c r="C91" s="63"/>
      <c r="D91" s="64"/>
      <c r="E91" s="65"/>
      <c r="F91" s="66"/>
      <c r="G91" s="36"/>
      <c r="H91" s="36" t="str">
        <f t="shared" ca="1" si="5"/>
        <v/>
      </c>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row>
    <row r="92" spans="1:64" s="37" customFormat="1" ht="30" customHeight="1">
      <c r="A92" s="20"/>
      <c r="B92" s="67" t="s">
        <v>110</v>
      </c>
      <c r="C92" s="68" t="inlineStr">
        <is>
          <t>和合</t>
        </is>
      </c>
      <c r="D92" s="69">
        <v>0.8</v>
      </c>
      <c r="E92" s="70">
        <v>46321</v>
      </c>
      <c r="F92" s="70">
        <v>46332</v>
      </c>
      <c r="G92" s="36"/>
      <c r="H92" s="36" t="e">
        <f t="shared" ca="1" si="5"/>
        <v>#VALUE!</v>
      </c>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row>
    <row r="93" spans="1:64" s="37" customFormat="1" ht="30" customHeight="1">
      <c r="A93" s="20"/>
      <c r="B93" s="67" t="s">
        <v>111</v>
      </c>
      <c r="C93" s="68" t="inlineStr">
        <is>
          <t>和合</t>
        </is>
      </c>
      <c r="D93" s="69">
        <v>0.8</v>
      </c>
      <c r="E93" s="70">
        <v>46321</v>
      </c>
      <c r="F93" s="70">
        <v>46323</v>
      </c>
      <c r="G93" s="36"/>
      <c r="H93" s="36" t="e">
        <f t="shared" ca="1" si="5"/>
        <v>#VALUE!</v>
      </c>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row>
    <row r="94" spans="1:64" s="37" customFormat="1" ht="30" customHeight="1">
      <c r="A94" s="20"/>
      <c r="B94" s="67" t="inlineStr">
        <is>
          <t>4-01.ベース車両テーブル（T_vehicles）</t>
        </is>
      </c>
      <c r="C94" s="68" t="inlineStr">
        <is>
          <t>和合</t>
        </is>
      </c>
      <c r="D94" s="69">
        <v>0.8</v>
      </c>
      <c r="E94" s="70">
        <v>46323</v>
      </c>
      <c r="F94" s="70">
        <v>46324</v>
      </c>
      <c r="G94" s="36"/>
      <c r="H94" s="36" t="e">
        <f t="shared" ca="1" si="5"/>
        <v>#VALUE!</v>
      </c>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row>
    <row r="95" spans="1:64" s="37" customFormat="1" ht="30" customHeight="1">
      <c r="A95" s="20"/>
      <c r="B95" s="67" t="inlineStr">
        <is>
          <t>4-02.部位テーブル（T_part_slots）</t>
        </is>
      </c>
      <c r="C95" s="68" t="inlineStr">
        <is>
          <t>和合</t>
        </is>
      </c>
      <c r="D95" s="69">
        <v>0.8</v>
      </c>
      <c r="E95" s="70">
        <v>46323</v>
      </c>
      <c r="F95" s="70">
        <v>46324</v>
      </c>
      <c r="G95" s="36"/>
      <c r="H95" s="36" t="e">
        <f ca="1">IF(OR(ISBLANK(タスク_開始),ISBLANK(タスク_終了)),"",タスク_終了-タスク_開始+1)</f>
        <v>#VALUE!</v>
      </c>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row>
    <row r="96" spans="1:64" s="37" customFormat="1" ht="30" customHeight="1">
      <c r="A96" s="20"/>
      <c r="B96" s="67" t="inlineStr">
        <is>
          <t>4-03.パーツテーブル（T_parts）</t>
        </is>
      </c>
      <c r="C96" s="68" t="inlineStr">
        <is>
          <t>和合</t>
        </is>
      </c>
      <c r="D96" s="69">
        <v>0.8</v>
      </c>
      <c r="E96" s="70">
        <v>46325</v>
      </c>
      <c r="F96" s="70">
        <v>46328</v>
      </c>
      <c r="G96" s="36"/>
      <c r="H96" s="36" t="e">
        <f ca="1">IF(OR(ISBLANK(タスク_開始),ISBLANK(タスク_終了)),"",タスク_終了-タスク_開始+1)</f>
        <v>#VALUE!</v>
      </c>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row>
    <row r="97" spans="1:64" s="37" customFormat="1" ht="30" customHeight="1">
      <c r="A97" s="20"/>
      <c r="B97" s="67" t="inlineStr">
        <is>
          <t>4-04.塗装部位テーブル（T_paint_slots）</t>
        </is>
      </c>
      <c r="C97" s="68" t="inlineStr">
        <is>
          <t>和合</t>
        </is>
      </c>
      <c r="D97" s="69">
        <v>0.8</v>
      </c>
      <c r="E97" s="70">
        <v>46325</v>
      </c>
      <c r="F97" s="70">
        <v>46328</v>
      </c>
      <c r="G97" s="36"/>
      <c r="H97" s="36" t="e">
        <f ca="1">IF(OR(ISBLANK(タスク_開始),ISBLANK(タスク_終了)),"",タスク_終了-タスク_開始+1)</f>
        <v>#VALUE!</v>
      </c>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row>
    <row r="98" spans="1:64" s="37" customFormat="1" ht="30" customHeight="1">
      <c r="A98" s="20"/>
      <c r="B98" s="67" t="inlineStr">
        <is>
          <t>4-05.塗装部位の色テーブル（T_palette_colors）</t>
        </is>
      </c>
      <c r="C98" s="68" t="inlineStr">
        <is>
          <t>和合</t>
        </is>
      </c>
      <c r="D98" s="69">
        <v>0.8</v>
      </c>
      <c r="E98" s="70">
        <v>46325</v>
      </c>
      <c r="F98" s="70">
        <v>46328</v>
      </c>
      <c r="G98" s="36"/>
      <c r="H98" s="36" t="e">
        <f ca="1">IF(OR(ISBLANK(タスク_開始),ISBLANK(タスク_終了)),"",タスク_終了-タスク_開始+1)</f>
        <v>#VALUE!</v>
      </c>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row>
    <row r="99" spans="1:64" s="37" customFormat="1" ht="30" customHeight="1">
      <c r="A99" s="20"/>
      <c r="B99" s="67" t="inlineStr">
        <is>
          <t>4-06.組み合わせ制約テーブル（T_constraints）</t>
        </is>
      </c>
      <c r="C99" s="68" t="inlineStr">
        <is>
          <t>和合</t>
        </is>
      </c>
      <c r="D99" s="69">
        <v>0.8</v>
      </c>
      <c r="E99" s="70">
        <v>46328</v>
      </c>
      <c r="F99" s="70">
        <v>46330</v>
      </c>
      <c r="G99" s="36"/>
      <c r="H99" s="36" t="e">
        <f ca="1">IF(OR(ISBLANK(タスク_開始),ISBLANK(タスク_終了)),"",タスク_終了-タスク_開始+1)</f>
        <v>#VALUE!</v>
      </c>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row>
    <row r="100" spans="1:64" s="37" customFormat="1" ht="30" customHeight="1">
      <c r="A100" s="20"/>
      <c r="B100" s="67" t="inlineStr">
        <is>
          <t>4-07.仕様テーブル（T_build_specs）</t>
        </is>
      </c>
      <c r="C100" s="68" t="inlineStr">
        <is>
          <t>和合</t>
        </is>
      </c>
      <c r="D100" s="69">
        <v>0.8</v>
      </c>
      <c r="E100" s="70">
        <v>46328</v>
      </c>
      <c r="F100" s="70">
        <v>46330</v>
      </c>
      <c r="G100" s="36"/>
      <c r="H100" s="36" t="e">
        <f ca="1">IF(OR(ISBLANK(タスク_開始),ISBLANK(タスク_終了)),"",タスク_終了-タスク_開始+1)</f>
        <v>#VALUE!</v>
      </c>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row>
    <row r="101" spans="1:64" s="37" customFormat="1" ht="30" customHeight="1">
      <c r="A101" s="20"/>
      <c r="B101" s="67" t="inlineStr">
        <is>
          <t>4-08.仕様（パーツ）テーブル（T_build_spec_parts）</t>
        </is>
      </c>
      <c r="C101" s="68" t="inlineStr">
        <is>
          <t>和合</t>
        </is>
      </c>
      <c r="D101" s="69">
        <v>0.8</v>
      </c>
      <c r="E101" s="70">
        <v>46330</v>
      </c>
      <c r="F101" s="70">
        <v>46331</v>
      </c>
      <c r="G101" s="36"/>
      <c r="H101" s="36" t="e">
        <f ca="1">IF(OR(ISBLANK(タスク_開始),ISBLANK(タスク_終了)),"",タスク_終了-タスク_開始+1)</f>
        <v>#VALUE!</v>
      </c>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row>
    <row r="102" spans="1:64" s="37" customFormat="1" ht="30" customHeight="1">
      <c r="A102" s="20"/>
      <c r="B102" s="67" t="inlineStr">
        <is>
          <t>4-09.仕様（塗装部位の色）テーブル（T_build_spec_colors）</t>
        </is>
      </c>
      <c r="C102" s="68" t="inlineStr">
        <is>
          <t>和合</t>
        </is>
      </c>
      <c r="D102" s="69">
        <v>0.8</v>
      </c>
      <c r="E102" s="70">
        <v>46330</v>
      </c>
      <c r="F102" s="70">
        <v>46331</v>
      </c>
      <c r="G102" s="36"/>
      <c r="H102" s="36" t="e">
        <f ca="1">IF(OR(ISBLANK(タスク_開始),ISBLANK(タスク_終了)),"",タスク_終了-タスク_開始+1)</f>
        <v>#VALUE!</v>
      </c>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row>
    <row r="103" spans="1:64" s="37" customFormat="1" ht="30" customHeight="1">
      <c r="A103" s="20"/>
      <c r="B103" s="67" t="inlineStr">
        <is>
          <t>4-10.名付け保存した仕様テーブル（T_saved_builds）</t>
        </is>
      </c>
      <c r="C103" s="68" t="inlineStr">
        <is>
          <t>和合</t>
        </is>
      </c>
      <c r="D103" s="69">
        <v>0.8</v>
      </c>
      <c r="E103" s="70">
        <v>46331</v>
      </c>
      <c r="F103" s="70">
        <v>46332</v>
      </c>
      <c r="G103" s="36"/>
      <c r="H103" s="36" t="e">
        <f ca="1">IF(OR(ISBLANK(タスク_開始),ISBLANK(タスク_終了)),"",タスク_終了-タスク_開始+1)</f>
        <v>#VALUE!</v>
      </c>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row>
    <row r="104" spans="1:64" s="37" customFormat="1" ht="30" customHeight="1">
      <c r="A104" s="20"/>
      <c r="B104" s="67" t="inlineStr">
        <is>
          <t>4-11.プリセットテーブル（T_presets）</t>
        </is>
      </c>
      <c r="C104" s="68" t="inlineStr">
        <is>
          <t>和合</t>
        </is>
      </c>
      <c r="D104" s="69">
        <v>0.8</v>
      </c>
      <c r="E104" s="70">
        <v>46331</v>
      </c>
      <c r="F104" s="70">
        <v>46332</v>
      </c>
      <c r="G104" s="36"/>
      <c r="H104" s="36" t="e">
        <f ca="1">IF(OR(ISBLANK(タスク_開始),ISBLANK(タスク_終了)),"",タスク_終了-タスク_開始+1)</f>
        <v>#VALUE!</v>
      </c>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row>
    <row r="105" spans="1:64" s="37" customFormat="1" ht="30" customHeight="1">
      <c r="A105" s="20"/>
      <c r="B105" s="67" t="inlineStr">
        <is>
          <t>4-12.管理者テーブル（T_admins）</t>
        </is>
      </c>
      <c r="C105" s="68" t="inlineStr">
        <is>
          <t>和合</t>
        </is>
      </c>
      <c r="D105" s="69">
        <v>0.8</v>
      </c>
      <c r="E105" s="70">
        <v>46332</v>
      </c>
      <c r="F105" s="70">
        <v>46332</v>
      </c>
      <c r="G105" s="36"/>
      <c r="H105" s="36" t="e">
        <f ca="1">IF(OR(ISBLANK(タスク_開始),ISBLANK(タスク_終了)),"",タスク_終了-タスク_開始+1)</f>
        <v>#VALUE!</v>
      </c>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row>
    <row r="106" spans="1:64" s="37" customFormat="1" ht="30" customHeight="1">
      <c r="A106" s="20"/>
      <c r="B106" s="67" t="inlineStr">
        <is>
          <t>4-13.テーブル作成SQL（DDL）・初期データ</t>
        </is>
      </c>
      <c r="C106" s="68" t="inlineStr">
        <is>
          <t>和合</t>
        </is>
      </c>
      <c r="D106" s="69">
        <v>0.8</v>
      </c>
      <c r="E106" s="70">
        <v>46335</v>
      </c>
      <c r="F106" s="70">
        <v>46339</v>
      </c>
      <c r="G106" s="36"/>
      <c r="H106" s="36" t="e">
        <f ca="1">IF(OR(ISBLANK(タスク_開始),ISBLANK(タスク_終了)),"",タスク_終了-タスク_開始+1)</f>
        <v>#VALUE!</v>
      </c>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row>
    <row r="107" outlineLevel="1" hidden="1" spans="1:64" s="37" customFormat="1" ht="30" customHeight="1">
      <c r="A107" s="20"/>
      <c r="B107" s="67" t="s">
        <v>125</v>
      </c>
      <c r="C107" s="68" t="s">
        <v>44</v>
      </c>
      <c r="D107" s="69" t="s">
        <v>44</v>
      </c>
      <c r="E107" s="70" t="s">
        <v>44</v>
      </c>
      <c r="F107" s="70" t="s">
        <v>44</v>
      </c>
      <c r="G107" s="36"/>
      <c r="H107" s="36" t="e">
        <f ca="1">IF(OR(ISBLANK(タスク_開始),ISBLANK(タスク_終了)),"",タスク_終了-タスク_開始+1)</f>
        <v>#VALUE!</v>
      </c>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row>
    <row r="108" outlineLevel="1" hidden="1" spans="1:64" s="37" customFormat="1" ht="30" customHeight="1">
      <c r="A108" s="20"/>
      <c r="B108" s="67" t="s">
        <v>126</v>
      </c>
      <c r="C108" s="68" t="s">
        <v>44</v>
      </c>
      <c r="D108" s="69" t="s">
        <v>44</v>
      </c>
      <c r="E108" s="70" t="s">
        <v>44</v>
      </c>
      <c r="F108" s="70" t="s">
        <v>44</v>
      </c>
      <c r="G108" s="36"/>
      <c r="H108" s="36" t="e">
        <f ca="1">IF(OR(ISBLANK(タスク_開始),ISBLANK(タスク_終了)),"",タスク_終了-タスク_開始+1)</f>
        <v>#VALUE!</v>
      </c>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row>
    <row r="109" outlineLevel="1" hidden="1" spans="1:64" s="37" customFormat="1" ht="30" customHeight="1">
      <c r="A109" s="20"/>
      <c r="B109" s="67" t="s">
        <v>127</v>
      </c>
      <c r="C109" s="68" t="s">
        <v>44</v>
      </c>
      <c r="D109" s="69" t="s">
        <v>44</v>
      </c>
      <c r="E109" s="70" t="s">
        <v>44</v>
      </c>
      <c r="F109" s="70" t="s">
        <v>44</v>
      </c>
      <c r="G109" s="36"/>
      <c r="H109" s="36" t="e">
        <f ca="1">IF(OR(ISBLANK(タスク_開始),ISBLANK(タスク_終了)),"",タスク_終了-タスク_開始+1)</f>
        <v>#VALUE!</v>
      </c>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row>
    <row r="110" outlineLevel="1" hidden="1" spans="1:64" s="37" customFormat="1" ht="30" customHeight="1">
      <c r="A110" s="20"/>
      <c r="B110" s="67" t="s">
        <v>128</v>
      </c>
      <c r="C110" s="68" t="s">
        <v>44</v>
      </c>
      <c r="D110" s="69" t="s">
        <v>44</v>
      </c>
      <c r="E110" s="70" t="s">
        <v>44</v>
      </c>
      <c r="F110" s="70" t="s">
        <v>44</v>
      </c>
      <c r="G110" s="36"/>
      <c r="H110" s="36" t="e">
        <f ca="1">IF(OR(ISBLANK(タスク_開始),ISBLANK(タスク_終了)),"",タスク_終了-タスク_開始+1)</f>
        <v>#VALUE!</v>
      </c>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row>
    <row r="111" outlineLevel="1" hidden="1" spans="1:64" s="37" customFormat="1" ht="30" customHeight="1">
      <c r="A111" s="20"/>
      <c r="B111" s="67" t="s">
        <v>129</v>
      </c>
      <c r="C111" s="68" t="s">
        <v>44</v>
      </c>
      <c r="D111" s="69" t="s">
        <v>44</v>
      </c>
      <c r="E111" s="70" t="s">
        <v>44</v>
      </c>
      <c r="F111" s="70" t="s">
        <v>44</v>
      </c>
      <c r="G111" s="36"/>
      <c r="H111" s="36" t="e">
        <f ca="1">IF(OR(ISBLANK(タスク_開始),ISBLANK(タスク_終了)),"",タスク_終了-タスク_開始+1)</f>
        <v>#VALUE!</v>
      </c>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row>
    <row r="112" outlineLevel="1" hidden="1" spans="1:64" s="37" customFormat="1" ht="30" customHeight="1">
      <c r="A112" s="20"/>
      <c r="B112" s="67" t="s">
        <v>130</v>
      </c>
      <c r="C112" s="68" t="s">
        <v>44</v>
      </c>
      <c r="D112" s="69" t="s">
        <v>44</v>
      </c>
      <c r="E112" s="70" t="s">
        <v>44</v>
      </c>
      <c r="F112" s="70" t="s">
        <v>44</v>
      </c>
      <c r="G112" s="36"/>
      <c r="H112" s="36" t="e">
        <f ca="1">IF(OR(ISBLANK(タスク_開始),ISBLANK(タスク_終了)),"",タスク_終了-タスク_開始+1)</f>
        <v>#VALUE!</v>
      </c>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row>
    <row r="113" outlineLevel="1" hidden="1" spans="1:64" s="37" customFormat="1" ht="30" customHeight="1">
      <c r="A113" s="20"/>
      <c r="B113" s="67" t="s">
        <v>131</v>
      </c>
      <c r="C113" s="68" t="s">
        <v>44</v>
      </c>
      <c r="D113" s="69" t="s">
        <v>44</v>
      </c>
      <c r="E113" s="70" t="s">
        <v>44</v>
      </c>
      <c r="F113" s="70" t="s">
        <v>44</v>
      </c>
      <c r="G113" s="36"/>
      <c r="H113" s="36" t="e">
        <f ca="1">IF(OR(ISBLANK(タスク_開始),ISBLANK(タスク_終了)),"",タスク_終了-タスク_開始+1)</f>
        <v>#VALUE!</v>
      </c>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row>
    <row r="114" outlineLevel="1" hidden="1" spans="1:64" s="37" customFormat="1" ht="30" customHeight="1">
      <c r="A114" s="20"/>
      <c r="B114" s="67" t="s">
        <v>132</v>
      </c>
      <c r="C114" s="68" t="s">
        <v>44</v>
      </c>
      <c r="D114" s="69" t="s">
        <v>44</v>
      </c>
      <c r="E114" s="70" t="s">
        <v>44</v>
      </c>
      <c r="F114" s="70" t="s">
        <v>44</v>
      </c>
      <c r="G114" s="36"/>
      <c r="H114" s="36" t="e">
        <f ca="1">IF(OR(ISBLANK(タスク_開始),ISBLANK(タスク_終了)),"",タスク_終了-タスク_開始+1)</f>
        <v>#VALUE!</v>
      </c>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row>
    <row r="115" outlineLevel="1" hidden="1" spans="1:64" s="37" customFormat="1" ht="30" customHeight="1">
      <c r="A115" s="20"/>
      <c r="B115" s="67" t="s">
        <v>133</v>
      </c>
      <c r="C115" s="68" t="s">
        <v>44</v>
      </c>
      <c r="D115" s="69" t="s">
        <v>44</v>
      </c>
      <c r="E115" s="70" t="s">
        <v>44</v>
      </c>
      <c r="F115" s="70" t="s">
        <v>44</v>
      </c>
      <c r="G115" s="36"/>
      <c r="H115" s="36" t="e">
        <f ca="1">IF(OR(ISBLANK(タスク_開始),ISBLANK(タスク_終了)),"",タスク_終了-タスク_開始+1)</f>
        <v>#VALUE!</v>
      </c>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row>
    <row r="116" outlineLevel="1" hidden="1" spans="1:64" s="37" customFormat="1" ht="30" customHeight="1">
      <c r="A116" s="20"/>
      <c r="B116" s="67" t="s">
        <v>134</v>
      </c>
      <c r="C116" s="68" t="s">
        <v>44</v>
      </c>
      <c r="D116" s="69" t="s">
        <v>44</v>
      </c>
      <c r="E116" s="70" t="s">
        <v>44</v>
      </c>
      <c r="F116" s="70" t="s">
        <v>44</v>
      </c>
      <c r="G116" s="36"/>
      <c r="H116" s="36" t="e">
        <f ca="1">IF(OR(ISBLANK(タスク_開始),ISBLANK(タスク_終了)),"",タスク_終了-タスク_開始+1)</f>
        <v>#VALUE!</v>
      </c>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row>
    <row r="117" outlineLevel="1" hidden="1" spans="1:64" s="37" customFormat="1" ht="30" customHeight="1">
      <c r="A117" s="20"/>
      <c r="B117" s="67" t="s">
        <v>135</v>
      </c>
      <c r="C117" s="68" t="s">
        <v>44</v>
      </c>
      <c r="D117" s="69" t="s">
        <v>44</v>
      </c>
      <c r="E117" s="70" t="s">
        <v>44</v>
      </c>
      <c r="F117" s="70" t="s">
        <v>44</v>
      </c>
      <c r="G117" s="36"/>
      <c r="H117" s="36" t="e">
        <f ca="1">IF(OR(ISBLANK(タスク_開始),ISBLANK(タスク_終了)),"",タスク_終了-タスク_開始+1)</f>
        <v>#VALUE!</v>
      </c>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row>
    <row r="118" outlineLevel="1" hidden="1" spans="1:64" s="37" customFormat="1" ht="30" customHeight="1">
      <c r="A118" s="20"/>
      <c r="B118" s="67" t="s">
        <v>136</v>
      </c>
      <c r="C118" s="68" t="s">
        <v>44</v>
      </c>
      <c r="D118" s="69" t="s">
        <v>44</v>
      </c>
      <c r="E118" s="70" t="s">
        <v>44</v>
      </c>
      <c r="F118" s="70" t="s">
        <v>44</v>
      </c>
      <c r="G118" s="36"/>
      <c r="H118" s="36" t="e">
        <f ca="1">IF(OR(ISBLANK(タスク_開始),ISBLANK(タスク_終了)),"",タスク_終了-タスク_開始+1)</f>
        <v>#VALUE!</v>
      </c>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row>
    <row r="119" outlineLevel="1" hidden="1" spans="1:64" s="37" customFormat="1" ht="30" customHeight="1">
      <c r="A119" s="20"/>
      <c r="B119" s="67" t="s">
        <v>137</v>
      </c>
      <c r="C119" s="68" t="s">
        <v>44</v>
      </c>
      <c r="D119" s="69" t="s">
        <v>44</v>
      </c>
      <c r="E119" s="70" t="s">
        <v>44</v>
      </c>
      <c r="F119" s="70" t="s">
        <v>44</v>
      </c>
      <c r="G119" s="36"/>
      <c r="H119" s="36" t="e">
        <f ca="1">IF(OR(ISBLANK(タスク_開始),ISBLANK(タスク_終了)),"",タスク_終了-タスク_開始+1)</f>
        <v>#VALUE!</v>
      </c>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row>
    <row r="120" outlineLevel="1" hidden="1" spans="1:64" s="37" customFormat="1" ht="30" customHeight="1">
      <c r="A120" s="20"/>
      <c r="B120" s="67" t="s">
        <v>138</v>
      </c>
      <c r="C120" s="68" t="s">
        <v>44</v>
      </c>
      <c r="D120" s="69" t="s">
        <v>44</v>
      </c>
      <c r="E120" s="70" t="s">
        <v>44</v>
      </c>
      <c r="F120" s="70" t="s">
        <v>44</v>
      </c>
      <c r="G120" s="36"/>
      <c r="H120" s="36" t="e">
        <f ca="1">IF(OR(ISBLANK(タスク_開始),ISBLANK(タスク_終了)),"",タスク_終了-タスク_開始+1)</f>
        <v>#VALUE!</v>
      </c>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row>
    <row r="121" outlineLevel="1" hidden="1" spans="1:64" s="37" customFormat="1" ht="30" customHeight="1">
      <c r="A121" s="20"/>
      <c r="B121" s="67" t="s">
        <v>139</v>
      </c>
      <c r="C121" s="68" t="s">
        <v>44</v>
      </c>
      <c r="D121" s="69" t="s">
        <v>44</v>
      </c>
      <c r="E121" s="70" t="s">
        <v>44</v>
      </c>
      <c r="F121" s="70" t="s">
        <v>44</v>
      </c>
      <c r="G121" s="36"/>
      <c r="H121" s="36" t="e">
        <f ca="1">IF(OR(ISBLANK(タスク_開始),ISBLANK(タスク_終了)),"",タスク_終了-タスク_開始+1)</f>
        <v>#VALUE!</v>
      </c>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row>
    <row r="122" outlineLevel="1" hidden="1" spans="1:64" s="37" customFormat="1" ht="30" customHeight="1">
      <c r="A122" s="20"/>
      <c r="B122" s="67" t="s">
        <v>140</v>
      </c>
      <c r="C122" s="68" t="s">
        <v>44</v>
      </c>
      <c r="D122" s="69" t="s">
        <v>44</v>
      </c>
      <c r="E122" s="70" t="s">
        <v>44</v>
      </c>
      <c r="F122" s="70" t="s">
        <v>44</v>
      </c>
      <c r="G122" s="36"/>
      <c r="H122" s="36" t="e">
        <f ca="1">IF(OR(ISBLANK(タスク_開始),ISBLANK(タスク_終了)),"",タスク_終了-タスク_開始+1)</f>
        <v>#VALUE!</v>
      </c>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row>
    <row r="123" outlineLevel="1" hidden="1" spans="1:64" s="37" customFormat="1" ht="30" customHeight="1">
      <c r="A123" s="20"/>
      <c r="B123" s="67" t="s">
        <v>141</v>
      </c>
      <c r="C123" s="68" t="s">
        <v>44</v>
      </c>
      <c r="D123" s="69" t="s">
        <v>44</v>
      </c>
      <c r="E123" s="70" t="s">
        <v>44</v>
      </c>
      <c r="F123" s="70" t="s">
        <v>44</v>
      </c>
      <c r="G123" s="36"/>
      <c r="H123" s="36" t="e">
        <f ca="1">IF(OR(ISBLANK(タスク_開始),ISBLANK(タスク_終了)),"",タスク_終了-タスク_開始+1)</f>
        <v>#VALUE!</v>
      </c>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row>
    <row r="124" outlineLevel="1" hidden="1" spans="1:64" s="37" customFormat="1" ht="30" customHeight="1">
      <c r="A124" s="20"/>
      <c r="B124" s="67" t="s">
        <v>142</v>
      </c>
      <c r="C124" s="68" t="s">
        <v>44</v>
      </c>
      <c r="D124" s="69" t="s">
        <v>44</v>
      </c>
      <c r="E124" s="70" t="s">
        <v>44</v>
      </c>
      <c r="F124" s="70" t="s">
        <v>44</v>
      </c>
      <c r="G124" s="36"/>
      <c r="H124" s="36" t="e">
        <f ca="1">IF(OR(ISBLANK(タスク_開始),ISBLANK(タスク_終了)),"",タスク_終了-タスク_開始+1)</f>
        <v>#VALUE!</v>
      </c>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row>
    <row r="125" outlineLevel="1" hidden="1" spans="1:64" s="37" customFormat="1" ht="30" customHeight="1">
      <c r="A125" s="20"/>
      <c r="B125" s="67" t="s">
        <v>143</v>
      </c>
      <c r="C125" s="68" t="s">
        <v>44</v>
      </c>
      <c r="D125" s="69" t="s">
        <v>44</v>
      </c>
      <c r="E125" s="70" t="s">
        <v>44</v>
      </c>
      <c r="F125" s="70" t="s">
        <v>44</v>
      </c>
      <c r="G125" s="36"/>
      <c r="H125" s="36" t="e">
        <f ca="1">IF(OR(ISBLANK(タスク_開始),ISBLANK(タスク_終了)),"",タスク_終了-タスク_開始+1)</f>
        <v>#VALUE!</v>
      </c>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row>
    <row r="126" outlineLevel="1" hidden="1" spans="1:64" s="37" customFormat="1" ht="30" customHeight="1">
      <c r="A126" s="20"/>
      <c r="B126" s="67" t="s">
        <v>144</v>
      </c>
      <c r="C126" s="68" t="s">
        <v>44</v>
      </c>
      <c r="D126" s="69" t="s">
        <v>44</v>
      </c>
      <c r="E126" s="70" t="s">
        <v>44</v>
      </c>
      <c r="F126" s="70" t="s">
        <v>44</v>
      </c>
      <c r="G126" s="36"/>
      <c r="H126" s="36" t="e">
        <f ca="1">IF(OR(ISBLANK(タスク_開始),ISBLANK(タスク_終了)),"",タスク_終了-タスク_開始+1)</f>
        <v>#VALUE!</v>
      </c>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row>
    <row r="127" outlineLevel="1" hidden="1" spans="1:64" s="37" customFormat="1" ht="30" customHeight="1">
      <c r="A127" s="20"/>
      <c r="B127" s="67" t="s">
        <v>145</v>
      </c>
      <c r="C127" s="68" t="s">
        <v>44</v>
      </c>
      <c r="D127" s="69" t="s">
        <v>44</v>
      </c>
      <c r="E127" s="70" t="s">
        <v>44</v>
      </c>
      <c r="F127" s="70" t="s">
        <v>44</v>
      </c>
      <c r="G127" s="36"/>
      <c r="H127" s="36" t="e">
        <f ca="1">IF(OR(ISBLANK(タスク_開始),ISBLANK(タスク_終了)),"",タスク_終了-タスク_開始+1)</f>
        <v>#VALUE!</v>
      </c>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row>
    <row r="128" outlineLevel="1" hidden="1" spans="1:64" s="37" customFormat="1" ht="30" customHeight="1">
      <c r="A128" s="20"/>
      <c r="B128" s="67" t="s">
        <v>146</v>
      </c>
      <c r="C128" s="68" t="s">
        <v>44</v>
      </c>
      <c r="D128" s="69" t="s">
        <v>44</v>
      </c>
      <c r="E128" s="70" t="s">
        <v>44</v>
      </c>
      <c r="F128" s="70" t="s">
        <v>44</v>
      </c>
      <c r="G128" s="36"/>
      <c r="H128" s="36" t="e">
        <f ca="1">IF(OR(ISBLANK(タスク_開始),ISBLANK(タスク_終了)),"",タスク_終了-タスク_開始+1)</f>
        <v>#VALUE!</v>
      </c>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row>
    <row r="129" outlineLevel="1" hidden="1" spans="1:64" s="37" customFormat="1" ht="30" customHeight="1">
      <c r="A129" s="20"/>
      <c r="B129" s="67" t="s">
        <v>147</v>
      </c>
      <c r="C129" s="68" t="s">
        <v>44</v>
      </c>
      <c r="D129" s="69" t="s">
        <v>44</v>
      </c>
      <c r="E129" s="70" t="s">
        <v>44</v>
      </c>
      <c r="F129" s="70" t="s">
        <v>44</v>
      </c>
      <c r="G129" s="36"/>
      <c r="H129" s="36" t="e">
        <f ca="1">IF(OR(ISBLANK(タスク_開始),ISBLANK(タスク_終了)),"",タスク_終了-タスク_開始+1)</f>
        <v>#VALUE!</v>
      </c>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row>
    <row r="130" outlineLevel="1" hidden="1" spans="1:64" s="37" customFormat="1" ht="30" customHeight="1">
      <c r="A130" s="20"/>
      <c r="B130" s="67" t="s">
        <v>148</v>
      </c>
      <c r="C130" s="68" t="s">
        <v>44</v>
      </c>
      <c r="D130" s="69" t="s">
        <v>44</v>
      </c>
      <c r="E130" s="70" t="s">
        <v>44</v>
      </c>
      <c r="F130" s="70" t="s">
        <v>44</v>
      </c>
      <c r="G130" s="36"/>
      <c r="H130" s="36" t="e">
        <f ca="1">IF(OR(ISBLANK(タスク_開始),ISBLANK(タスク_終了)),"",タスク_終了-タスク_開始+1)</f>
        <v>#VALUE!</v>
      </c>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row>
    <row r="131" outlineLevel="1" hidden="1" spans="1:64" s="37" customFormat="1" ht="30" customHeight="1">
      <c r="A131" s="20"/>
      <c r="B131" s="67" t="s">
        <v>149</v>
      </c>
      <c r="C131" s="68" t="s">
        <v>44</v>
      </c>
      <c r="D131" s="69" t="s">
        <v>44</v>
      </c>
      <c r="E131" s="70" t="s">
        <v>44</v>
      </c>
      <c r="F131" s="70" t="s">
        <v>44</v>
      </c>
      <c r="G131" s="36"/>
      <c r="H131" s="36" t="e">
        <f ca="1">IF(OR(ISBLANK(タスク_開始),ISBLANK(タスク_終了)),"",タスク_終了-タスク_開始+1)</f>
        <v>#VALUE!</v>
      </c>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row>
    <row r="132" outlineLevel="1" hidden="1" spans="1:64" s="37" customFormat="1" ht="30" customHeight="1">
      <c r="A132" s="20"/>
      <c r="B132" s="67" t="s">
        <v>150</v>
      </c>
      <c r="C132" s="68" t="s">
        <v>44</v>
      </c>
      <c r="D132" s="69" t="s">
        <v>44</v>
      </c>
      <c r="E132" s="70" t="s">
        <v>44</v>
      </c>
      <c r="F132" s="70" t="s">
        <v>44</v>
      </c>
      <c r="G132" s="36"/>
      <c r="H132" s="36" t="e">
        <f ca="1">IF(OR(ISBLANK(タスク_開始),ISBLANK(タスク_終了)),"",タスク_終了-タスク_開始+1)</f>
        <v>#VALUE!</v>
      </c>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row>
    <row r="133" outlineLevel="1" hidden="1" spans="1:64" s="37" customFormat="1" ht="30" customHeight="1">
      <c r="A133" s="20"/>
      <c r="B133" s="67" t="s">
        <v>151</v>
      </c>
      <c r="C133" s="68" t="s">
        <v>44</v>
      </c>
      <c r="D133" s="69" t="s">
        <v>44</v>
      </c>
      <c r="E133" s="70" t="s">
        <v>44</v>
      </c>
      <c r="F133" s="70" t="s">
        <v>44</v>
      </c>
      <c r="G133" s="36"/>
      <c r="H133" s="36" t="e">
        <f ca="1">IF(OR(ISBLANK(タスク_開始),ISBLANK(タスク_終了)),"",タスク_終了-タスク_開始+1)</f>
        <v>#VALUE!</v>
      </c>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row>
    <row r="134" outlineLevel="1" hidden="1" spans="1:64" s="37" customFormat="1" ht="30" customHeight="1">
      <c r="A134" s="20"/>
      <c r="B134" s="67" t="s">
        <v>152</v>
      </c>
      <c r="C134" s="68" t="s">
        <v>44</v>
      </c>
      <c r="D134" s="69" t="s">
        <v>44</v>
      </c>
      <c r="E134" s="70" t="s">
        <v>44</v>
      </c>
      <c r="F134" s="70" t="s">
        <v>44</v>
      </c>
      <c r="G134" s="36"/>
      <c r="H134" s="36" t="e">
        <f ca="1">IF(OR(ISBLANK(タスク_開始),ISBLANK(タスク_終了)),"",タスク_終了-タスク_開始+1)</f>
        <v>#VALUE!</v>
      </c>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row>
    <row r="135" outlineLevel="1" hidden="1" spans="1:64" s="37" customFormat="1" ht="30" customHeight="1">
      <c r="A135" s="20"/>
      <c r="B135" s="67" t="s">
        <v>153</v>
      </c>
      <c r="C135" s="68" t="s">
        <v>44</v>
      </c>
      <c r="D135" s="69" t="s">
        <v>44</v>
      </c>
      <c r="E135" s="70" t="s">
        <v>44</v>
      </c>
      <c r="F135" s="70" t="s">
        <v>44</v>
      </c>
      <c r="G135" s="36"/>
      <c r="H135" s="36" t="e">
        <f ca="1">IF(OR(ISBLANK(タスク_開始),ISBLANK(タスク_終了)),"",タスク_終了-タスク_開始+1)</f>
        <v>#VALUE!</v>
      </c>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row>
    <row r="136" outlineLevel="1" hidden="1" spans="1:64" s="37" customFormat="1" ht="30" customHeight="1">
      <c r="A136" s="20"/>
      <c r="B136" s="67" t="s">
        <v>154</v>
      </c>
      <c r="C136" s="68" t="s">
        <v>44</v>
      </c>
      <c r="D136" s="69" t="s">
        <v>44</v>
      </c>
      <c r="E136" s="70" t="s">
        <v>44</v>
      </c>
      <c r="F136" s="70" t="s">
        <v>44</v>
      </c>
      <c r="G136" s="36"/>
      <c r="H136" s="36" t="e">
        <f ca="1">IF(OR(ISBLANK(タスク_開始),ISBLANK(タスク_終了)),"",タスク_終了-タスク_開始+1)</f>
        <v>#VALUE!</v>
      </c>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row>
    <row r="137" outlineLevel="1" hidden="1" spans="1:64" s="37" customFormat="1" ht="30" customHeight="1">
      <c r="A137" s="20"/>
      <c r="B137" s="67" t="s">
        <v>155</v>
      </c>
      <c r="C137" s="68" t="s">
        <v>44</v>
      </c>
      <c r="D137" s="69" t="s">
        <v>44</v>
      </c>
      <c r="E137" s="70" t="s">
        <v>44</v>
      </c>
      <c r="F137" s="70" t="s">
        <v>44</v>
      </c>
      <c r="G137" s="36"/>
      <c r="H137" s="36" t="e">
        <f ca="1">IF(OR(ISBLANK(タスク_開始),ISBLANK(タスク_終了)),"",タスク_終了-タスク_開始+1)</f>
        <v>#VALUE!</v>
      </c>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row>
    <row r="138" outlineLevel="1" hidden="1" spans="1:64" s="37" customFormat="1" ht="30" customHeight="1">
      <c r="A138" s="20"/>
      <c r="B138" s="67" t="s">
        <v>156</v>
      </c>
      <c r="C138" s="68" t="s">
        <v>44</v>
      </c>
      <c r="D138" s="69" t="s">
        <v>44</v>
      </c>
      <c r="E138" s="70" t="s">
        <v>44</v>
      </c>
      <c r="F138" s="70" t="s">
        <v>44</v>
      </c>
      <c r="G138" s="36"/>
      <c r="H138" s="36" t="e">
        <f ca="1">IF(OR(ISBLANK(タスク_開始),ISBLANK(タスク_終了)),"",タスク_終了-タスク_開始+1)</f>
        <v>#VALUE!</v>
      </c>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row>
    <row r="139" outlineLevel="1" hidden="1" spans="1:64" s="37" customFormat="1" ht="30" customHeight="1">
      <c r="A139" s="20"/>
      <c r="B139" s="67" t="s">
        <v>157</v>
      </c>
      <c r="C139" s="68" t="s">
        <v>44</v>
      </c>
      <c r="D139" s="69" t="s">
        <v>44</v>
      </c>
      <c r="E139" s="70" t="s">
        <v>44</v>
      </c>
      <c r="F139" s="70" t="s">
        <v>44</v>
      </c>
      <c r="G139" s="36"/>
      <c r="H139" s="36" t="e">
        <f ca="1">IF(OR(ISBLANK(タスク_開始),ISBLANK(タスク_終了)),"",タスク_終了-タスク_開始+1)</f>
        <v>#VALUE!</v>
      </c>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row>
    <row r="140" outlineLevel="1" hidden="1" spans="1:64" s="37" customFormat="1" ht="30" customHeight="1">
      <c r="A140" s="20"/>
      <c r="B140" s="67" t="s">
        <v>158</v>
      </c>
      <c r="C140" s="68" t="s">
        <v>44</v>
      </c>
      <c r="D140" s="69" t="s">
        <v>44</v>
      </c>
      <c r="E140" s="70" t="s">
        <v>44</v>
      </c>
      <c r="F140" s="70" t="s">
        <v>44</v>
      </c>
      <c r="G140" s="36"/>
      <c r="H140" s="36" t="e">
        <f ca="1">IF(OR(ISBLANK(タスク_開始),ISBLANK(タスク_終了)),"",タスク_終了-タスク_開始+1)</f>
        <v>#VALUE!</v>
      </c>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row>
    <row r="141" outlineLevel="1" hidden="1" spans="1:64" s="37" customFormat="1" ht="30" customHeight="1">
      <c r="A141" s="20"/>
      <c r="B141" s="67" t="s">
        <v>159</v>
      </c>
      <c r="C141" s="68" t="s">
        <v>44</v>
      </c>
      <c r="D141" s="69" t="s">
        <v>44</v>
      </c>
      <c r="E141" s="70" t="s">
        <v>44</v>
      </c>
      <c r="F141" s="70" t="s">
        <v>44</v>
      </c>
      <c r="G141" s="36"/>
      <c r="H141" s="36" t="e">
        <f ca="1">IF(OR(ISBLANK(タスク_開始),ISBLANK(タスク_終了)),"",タスク_終了-タスク_開始+1)</f>
        <v>#VALUE!</v>
      </c>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row>
    <row r="142" outlineLevel="1" hidden="1" spans="1:64" s="37" customFormat="1" ht="30" customHeight="1">
      <c r="A142" s="20"/>
      <c r="B142" s="67" t="s">
        <v>160</v>
      </c>
      <c r="C142" s="68" t="s">
        <v>44</v>
      </c>
      <c r="D142" s="69" t="s">
        <v>44</v>
      </c>
      <c r="E142" s="70" t="s">
        <v>44</v>
      </c>
      <c r="F142" s="70" t="s">
        <v>44</v>
      </c>
      <c r="G142" s="36"/>
      <c r="H142" s="36" t="e">
        <f ca="1">IF(OR(ISBLANK(タスク_開始),ISBLANK(タスク_終了)),"",タスク_終了-タスク_開始+1)</f>
        <v>#VALUE!</v>
      </c>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row>
    <row r="143" outlineLevel="1" hidden="1" spans="1:64" s="37" customFormat="1" ht="30" customHeight="1">
      <c r="A143" s="20"/>
      <c r="B143" s="67" t="s">
        <v>161</v>
      </c>
      <c r="C143" s="68" t="s">
        <v>44</v>
      </c>
      <c r="D143" s="69" t="s">
        <v>44</v>
      </c>
      <c r="E143" s="70" t="s">
        <v>44</v>
      </c>
      <c r="F143" s="70" t="s">
        <v>44</v>
      </c>
      <c r="G143" s="36"/>
      <c r="H143" s="36" t="e">
        <f ca="1">IF(OR(ISBLANK(タスク_開始),ISBLANK(タスク_終了)),"",タスク_終了-タスク_開始+1)</f>
        <v>#VALUE!</v>
      </c>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row>
    <row r="144" collapsed="1" spans="1:64" s="37" customFormat="1" ht="30" customHeight="1">
      <c r="A144" s="20" t="s">
        <v>74</v>
      </c>
      <c r="B144" s="71" t="s">
        <v>162</v>
      </c>
      <c r="C144" s="72"/>
      <c r="D144" s="73"/>
      <c r="E144" s="74"/>
      <c r="F144" s="75"/>
      <c r="G144" s="36"/>
      <c r="H144" s="36" t="str">
        <f ca="1">IF(OR(ISBLANK(タスク_開始),ISBLANK(タスク_終了)),"",タスク_終了-タスク_開始+1)</f>
        <v/>
      </c>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row>
    <row r="145" spans="1:64" s="37" customFormat="1" ht="30" customHeight="1">
      <c r="A145" s="20"/>
      <c r="B145" s="76" t="s">
        <v>163</v>
      </c>
      <c r="C145" s="77" t="inlineStr">
        <is>
          <t>上釜</t>
        </is>
      </c>
      <c r="D145" s="78">
        <v>0.8</v>
      </c>
      <c r="E145" s="79">
        <v>46335</v>
      </c>
      <c r="F145" s="79">
        <v>46337</v>
      </c>
      <c r="G145" s="36"/>
      <c r="H145" s="36" t="e">
        <f ca="1">IF(OR(ISBLANK(タスク_開始),ISBLANK(タスク_終了)),"",タスク_終了-タスク_開始+1)</f>
        <v>#VALUE!</v>
      </c>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row>
    <row r="146" spans="1:64" s="37" customFormat="1" ht="30" customHeight="1">
      <c r="A146" s="20"/>
      <c r="B146" s="76" t="s">
        <v>164</v>
      </c>
      <c r="C146" s="77" t="inlineStr">
        <is>
          <t>上釜</t>
        </is>
      </c>
      <c r="D146" s="78">
        <v>0.8</v>
      </c>
      <c r="E146" s="79">
        <v>46337</v>
      </c>
      <c r="F146" s="79">
        <v>46339</v>
      </c>
      <c r="G146" s="36"/>
      <c r="H146" s="36" t="e">
        <f ca="1">IF(OR(ISBLANK(タスク_開始),ISBLANK(タスク_終了)),"",タスク_終了-タスク_開始+1)</f>
        <v>#VALUE!</v>
      </c>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row>
    <row r="147" spans="1:64" s="37" customFormat="1" ht="30" customHeight="1">
      <c r="A147" s="20"/>
      <c r="B147" s="76" t="inlineStr">
        <is>
          <t>5-01.車両・部位・パーツコード</t>
        </is>
      </c>
      <c r="C147" s="77" t="inlineStr">
        <is>
          <t>上釜</t>
        </is>
      </c>
      <c r="D147" s="78">
        <v>0.8</v>
      </c>
      <c r="E147" s="79">
        <v>46335</v>
      </c>
      <c r="F147" s="79">
        <v>46336</v>
      </c>
      <c r="G147" s="36"/>
      <c r="H147" s="36" t="e">
        <f ca="1">IF(OR(ISBLANK(タスク_開始),ISBLANK(タスク_終了)),"",タスク_終了-タスク_開始+1)</f>
        <v>#VALUE!</v>
      </c>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row>
    <row r="148" spans="1:64" s="37" customFormat="1" ht="30" customHeight="1">
      <c r="A148" s="20"/>
      <c r="B148" s="76" t="inlineStr">
        <is>
          <t>5-02.塗装部位・色コード</t>
        </is>
      </c>
      <c r="C148" s="77" t="inlineStr">
        <is>
          <t>上釜</t>
        </is>
      </c>
      <c r="D148" s="78">
        <v>0.8</v>
      </c>
      <c r="E148" s="79">
        <v>46336</v>
      </c>
      <c r="F148" s="79">
        <v>46336</v>
      </c>
      <c r="G148" s="36"/>
      <c r="H148" s="36" t="e">
        <f ca="1">IF(OR(ISBLANK(タスク_開始),ISBLANK(タスク_終了)),"",タスク_終了-タスク_開始+1)</f>
        <v>#VALUE!</v>
      </c>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row>
    <row r="149" spans="1:64" s="37" customFormat="1" ht="30" customHeight="1">
      <c r="A149" s="20"/>
      <c r="B149" s="76" t="inlineStr">
        <is>
          <t>5-03.制約種別コード</t>
        </is>
      </c>
      <c r="C149" s="77" t="inlineStr">
        <is>
          <t>上釜</t>
        </is>
      </c>
      <c r="D149" s="78">
        <v>0.8</v>
      </c>
      <c r="E149" s="79">
        <v>46337</v>
      </c>
      <c r="F149" s="79">
        <v>46337</v>
      </c>
      <c r="G149" s="36"/>
      <c r="H149" s="36" t="e">
        <f ca="1">IF(OR(ISBLANK(タスク_開始),ISBLANK(タスク_終了)),"",タスク_終了-タスク_開始+1)</f>
        <v>#VALUE!</v>
      </c>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row>
    <row r="150" spans="1:64" s="37" customFormat="1" ht="30" customHeight="1">
      <c r="A150" s="20"/>
      <c r="B150" s="76" t="inlineStr">
        <is>
          <t>5-04.画面ID・機能ID</t>
        </is>
      </c>
      <c r="C150" s="77" t="inlineStr">
        <is>
          <t>上釜</t>
        </is>
      </c>
      <c r="D150" s="78">
        <v>0.8</v>
      </c>
      <c r="E150" s="79">
        <v>46337</v>
      </c>
      <c r="F150" s="79">
        <v>46337</v>
      </c>
      <c r="G150" s="36"/>
      <c r="H150" s="36" t="e">
        <f ca="1">IF(OR(ISBLANK(タスク_開始),ISBLANK(タスク_終了)),"",タスク_終了-タスク_開始+1)</f>
        <v>#VALUE!</v>
      </c>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row>
    <row r="151" spans="1:64" s="37" customFormat="1" ht="30" customHeight="1">
      <c r="A151" s="20"/>
      <c r="B151" s="76" t="inlineStr">
        <is>
          <t>5-05.メッセージコード</t>
        </is>
      </c>
      <c r="C151" s="77" t="inlineStr">
        <is>
          <t>上釜</t>
        </is>
      </c>
      <c r="D151" s="78">
        <v>0.8</v>
      </c>
      <c r="E151" s="79">
        <v>46338</v>
      </c>
      <c r="F151" s="79">
        <v>46338</v>
      </c>
      <c r="G151" s="36"/>
      <c r="H151" s="36" t="e">
        <f ca="1">IF(OR(ISBLANK(タスク_開始),ISBLANK(タスク_終了)),"",タスク_終了-タスク_開始+1)</f>
        <v>#VALUE!</v>
      </c>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row>
    <row r="152" spans="1:64" s="37" customFormat="1" ht="30" customHeight="1">
      <c r="A152" s="20"/>
      <c r="B152" s="76" t="inlineStr">
        <is>
          <t>5-06.APIエラーコード</t>
        </is>
      </c>
      <c r="C152" s="77" t="inlineStr">
        <is>
          <t>上釜</t>
        </is>
      </c>
      <c r="D152" s="78">
        <v>0.8</v>
      </c>
      <c r="E152" s="79">
        <v>46338</v>
      </c>
      <c r="F152" s="79">
        <v>46339</v>
      </c>
      <c r="G152" s="36"/>
      <c r="H152" s="36" t="e">
        <f ca="1">IF(OR(ISBLANK(タスク_開始),ISBLANK(タスク_終了)),"",タスク_終了-タスク_開始+1)</f>
        <v>#VALUE!</v>
      </c>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row>
    <row r="153" outlineLevel="1" hidden="1" spans="1:64" s="37" customFormat="1" ht="30" customHeight="1">
      <c r="A153" s="20"/>
      <c r="B153" s="76" t="s">
        <v>171</v>
      </c>
      <c r="C153" s="77" t="s">
        <v>44</v>
      </c>
      <c r="D153" s="78" t="s">
        <v>44</v>
      </c>
      <c r="E153" s="79" t="s">
        <v>44</v>
      </c>
      <c r="F153" s="79" t="s">
        <v>44</v>
      </c>
      <c r="G153" s="36"/>
      <c r="H153" s="36" t="e">
        <f ca="1">IF(OR(ISBLANK(タスク_開始),ISBLANK(タスク_終了)),"",タスク_終了-タスク_開始+1)</f>
        <v>#VALUE!</v>
      </c>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row>
    <row r="154" outlineLevel="1" hidden="1" spans="1:64" s="37" customFormat="1" ht="30" customHeight="1">
      <c r="A154" s="20"/>
      <c r="B154" s="76" t="s">
        <v>172</v>
      </c>
      <c r="C154" s="77" t="s">
        <v>44</v>
      </c>
      <c r="D154" s="78" t="s">
        <v>44</v>
      </c>
      <c r="E154" s="79" t="s">
        <v>44</v>
      </c>
      <c r="F154" s="79" t="s">
        <v>44</v>
      </c>
      <c r="G154" s="36"/>
      <c r="H154" s="36" t="e">
        <f ca="1">IF(OR(ISBLANK(タスク_開始),ISBLANK(タスク_終了)),"",タスク_終了-タスク_開始+1)</f>
        <v>#VALUE!</v>
      </c>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row>
    <row r="155" outlineLevel="1" hidden="1" spans="1:64" s="37" customFormat="1" ht="30" customHeight="1">
      <c r="A155" s="20"/>
      <c r="B155" s="76" t="s">
        <v>173</v>
      </c>
      <c r="C155" s="77" t="s">
        <v>44</v>
      </c>
      <c r="D155" s="78" t="s">
        <v>44</v>
      </c>
      <c r="E155" s="79" t="s">
        <v>44</v>
      </c>
      <c r="F155" s="79" t="s">
        <v>44</v>
      </c>
      <c r="G155" s="36"/>
      <c r="H155" s="36" t="e">
        <f ca="1">IF(OR(ISBLANK(タスク_開始),ISBLANK(タスク_終了)),"",タスク_終了-タスク_開始+1)</f>
        <v>#VALUE!</v>
      </c>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row>
    <row r="156" outlineLevel="1" hidden="1" spans="1:64" s="37" customFormat="1" ht="30" customHeight="1">
      <c r="A156" s="20"/>
      <c r="B156" s="76" t="s">
        <v>174</v>
      </c>
      <c r="C156" s="77" t="s">
        <v>44</v>
      </c>
      <c r="D156" s="78" t="s">
        <v>44</v>
      </c>
      <c r="E156" s="79" t="s">
        <v>44</v>
      </c>
      <c r="F156" s="79" t="s">
        <v>44</v>
      </c>
      <c r="G156" s="36"/>
      <c r="H156" s="36" t="e">
        <f ca="1">IF(OR(ISBLANK(タスク_開始),ISBLANK(タスク_終了)),"",タスク_終了-タスク_開始+1)</f>
        <v>#VALUE!</v>
      </c>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row>
    <row r="157" collapsed="1" spans="1:64" s="37" customFormat="1" ht="30" customHeight="1">
      <c r="A157" s="20" t="s">
        <v>74</v>
      </c>
      <c r="B157" s="80" t="s">
        <v>175</v>
      </c>
      <c r="C157" s="81"/>
      <c r="D157" s="82"/>
      <c r="E157" s="83"/>
      <c r="F157" s="84"/>
      <c r="G157" s="36"/>
      <c r="H157" s="36" t="str">
        <f ca="1">IF(OR(ISBLANK(タスク_開始),ISBLANK(タスク_終了)),"",タスク_終了-タスク_開始+1)</f>
        <v/>
      </c>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row>
    <row r="158" spans="1:64" s="37" customFormat="1" ht="30" customHeight="1">
      <c r="A158" s="20"/>
      <c r="B158" s="85" t="s">
        <v>176</v>
      </c>
      <c r="C158" s="86" t="inlineStr">
        <is>
          <t>上釜</t>
        </is>
      </c>
      <c r="D158" s="87">
        <v>0.8</v>
      </c>
      <c r="E158" s="88">
        <v>46335</v>
      </c>
      <c r="F158" s="88">
        <v>46337</v>
      </c>
      <c r="G158" s="36"/>
      <c r="H158" s="36" t="e">
        <f ca="1">IF(OR(ISBLANK(タスク_開始),ISBLANK(タスク_終了)),"",タスク_終了-タスク_開始+1)</f>
        <v>#VALUE!</v>
      </c>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row>
    <row r="159" spans="1:64" s="37" customFormat="1" ht="30" customHeight="1">
      <c r="A159" s="20"/>
      <c r="B159" s="85" t="s">
        <v>177</v>
      </c>
      <c r="C159" s="86" t="inlineStr">
        <is>
          <t>和合</t>
        </is>
      </c>
      <c r="D159" s="87">
        <v>0.8</v>
      </c>
      <c r="E159" s="88">
        <v>46335</v>
      </c>
      <c r="F159" s="88">
        <v>46336</v>
      </c>
      <c r="G159" s="36"/>
      <c r="H159" s="36" t="e">
        <f ca="1">IF(OR(ISBLANK(タスク_開始),ISBLANK(タスク_終了)),"",タスク_終了-タスク_開始+1)</f>
        <v>#VALUE!</v>
      </c>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row>
    <row r="160" spans="1:64" s="37" customFormat="1" ht="30" customHeight="1">
      <c r="A160" s="20"/>
      <c r="B160" s="85" t="s">
        <v>178</v>
      </c>
      <c r="C160" s="86" t="inlineStr">
        <is>
          <t>和合</t>
        </is>
      </c>
      <c r="D160" s="87">
        <v>0.8</v>
      </c>
      <c r="E160" s="88">
        <v>46336</v>
      </c>
      <c r="F160" s="88">
        <v>46337</v>
      </c>
      <c r="G160" s="36"/>
      <c r="H160" s="36" t="e">
        <f ca="1">IF(OR(ISBLANK(タスク_開始),ISBLANK(タスク_終了)),"",タスク_終了-タスク_開始+1)</f>
        <v>#VALUE!</v>
      </c>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row>
    <row r="161" spans="1:64" s="37" customFormat="1" ht="30" customHeight="1">
      <c r="A161" s="20"/>
      <c r="B161" s="85" t="s">
        <v>179</v>
      </c>
      <c r="C161" s="86" t="inlineStr">
        <is>
          <t>和合</t>
        </is>
      </c>
      <c r="D161" s="87">
        <v>0.8</v>
      </c>
      <c r="E161" s="88">
        <v>46337</v>
      </c>
      <c r="F161" s="88">
        <v>46338</v>
      </c>
      <c r="G161" s="36"/>
      <c r="H161" s="36" t="e">
        <f ca="1">IF(OR(ISBLANK(タスク_開始),ISBLANK(タスク_終了)),"",タスク_終了-タスク_開始+1)</f>
        <v>#VALUE!</v>
      </c>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row>
    <row r="162" spans="1:64" s="37" customFormat="1" ht="30" customHeight="1">
      <c r="A162" s="20"/>
      <c r="B162" s="85" t="s">
        <v>180</v>
      </c>
      <c r="C162" s="86" t="inlineStr">
        <is>
          <t>和合</t>
        </is>
      </c>
      <c r="D162" s="87">
        <v>0.8</v>
      </c>
      <c r="E162" s="88">
        <v>46338</v>
      </c>
      <c r="F162" s="88">
        <v>46339</v>
      </c>
      <c r="G162" s="36"/>
      <c r="H162" s="36" t="e">
        <f ca="1">IF(OR(ISBLANK(タスク_開始),ISBLANK(タスク_終了)),"",タスク_終了-タスク_開始+1)</f>
        <v>#VALUE!</v>
      </c>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row>
    <row r="163" spans="1:64" s="37" customFormat="1" ht="30" customHeight="1">
      <c r="A163" s="20" t="s">
        <v>74</v>
      </c>
      <c r="B163" s="89" t="s">
        <v>181</v>
      </c>
      <c r="C163" s="90"/>
      <c r="D163" s="91"/>
      <c r="E163" s="92"/>
      <c r="F163" s="93"/>
      <c r="G163" s="36"/>
      <c r="H163" s="36" t="str">
        <f ca="1">IF(OR(ISBLANK(タスク_開始),ISBLANK(タスク_終了)),"",タスク_終了-タスク_開始+1)</f>
        <v/>
      </c>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row>
    <row r="164" spans="1:64" s="37" customFormat="1" ht="30" customHeight="1">
      <c r="A164" s="20"/>
      <c r="B164" s="94" t="inlineStr">
        <is>
          <t>7A-01.CustomizeScreenクラス（カスタム画面）</t>
        </is>
      </c>
      <c r="C164" s="95" t="inlineStr">
        <is>
          <t>江副</t>
        </is>
      </c>
      <c r="D164" s="96">
        <v>0.5</v>
      </c>
      <c r="E164" s="97">
        <v>46342</v>
      </c>
      <c r="F164" s="97">
        <v>46344</v>
      </c>
      <c r="G164" s="36"/>
      <c r="H164" s="36" t="e">
        <f ca="1">IF(OR(ISBLANK(タスク_開始),ISBLANK(タスク_終了)),"",タスク_終了-タスク_開始+1)</f>
        <v>#VALUE!</v>
      </c>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row>
    <row r="165" spans="1:64" s="37" customFormat="1" ht="30" customHeight="1">
      <c r="A165" s="20"/>
      <c r="B165" s="94" t="inlineStr">
        <is>
          <t>7A-02.BikeViewクラス（車両ビュー）</t>
        </is>
      </c>
      <c r="C165" s="95" t="inlineStr">
        <is>
          <t>江副</t>
        </is>
      </c>
      <c r="D165" s="96">
        <v>0.5</v>
      </c>
      <c r="E165" s="97">
        <v>46342</v>
      </c>
      <c r="F165" s="97">
        <v>46344</v>
      </c>
      <c r="G165" s="36"/>
      <c r="H165" s="36" t="e">
        <f ca="1">IF(OR(ISBLANK(タスク_開始),ISBLANK(タスク_終了)),"",タスク_終了-タスク_開始+1)</f>
        <v>#VALUE!</v>
      </c>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row>
    <row r="166" spans="1:64" s="37" customFormat="1" ht="30" customHeight="1">
      <c r="A166" s="20"/>
      <c r="B166" s="94" t="inlineStr">
        <is>
          <t>7A-03.CompareViewクラス（比較画面）</t>
        </is>
      </c>
      <c r="C166" s="95" t="inlineStr">
        <is>
          <t>江副</t>
        </is>
      </c>
      <c r="D166" s="96">
        <v>0.5</v>
      </c>
      <c r="E166" s="97">
        <v>46342</v>
      </c>
      <c r="F166" s="97">
        <v>46344</v>
      </c>
      <c r="G166" s="36"/>
      <c r="H166" s="36" t="e">
        <f ca="1">IF(OR(ISBLANK(タスク_開始),ISBLANK(タスク_終了)),"",タスク_終了-タスク_開始+1)</f>
        <v>#VALUE!</v>
      </c>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row>
    <row r="167" spans="1:64" s="37" customFormat="1" ht="30" customHeight="1">
      <c r="A167" s="20"/>
      <c r="B167" s="94" t="inlineStr">
        <is>
          <t>7A-04.SaveListPanelクラス（保存一覧）</t>
        </is>
      </c>
      <c r="C167" s="95" t="inlineStr">
        <is>
          <t>江副</t>
        </is>
      </c>
      <c r="D167" s="96">
        <v>0.5</v>
      </c>
      <c r="E167" s="97">
        <v>46342</v>
      </c>
      <c r="F167" s="97">
        <v>46344</v>
      </c>
      <c r="G167" s="36"/>
      <c r="H167" s="36" t="e">
        <f ca="1">IF(OR(ISBLANK(タスク_開始),ISBLANK(タスク_終了)),"",タスク_終了-タスク_開始+1)</f>
        <v>#VALUE!</v>
      </c>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row>
    <row r="168" spans="1:64" s="37" customFormat="1" ht="30" customHeight="1">
      <c r="A168" s="20"/>
      <c r="B168" s="94" t="inlineStr">
        <is>
          <t>7A-05.AdminScreenクラス（管理画面）</t>
        </is>
      </c>
      <c r="C168" s="95" t="inlineStr">
        <is>
          <t>江副</t>
        </is>
      </c>
      <c r="D168" s="96">
        <v>0.5</v>
      </c>
      <c r="E168" s="97">
        <v>46342</v>
      </c>
      <c r="F168" s="97">
        <v>46344</v>
      </c>
      <c r="G168" s="36"/>
      <c r="H168" s="36" t="e">
        <f ca="1">IF(OR(ISBLANK(タスク_開始),ISBLANK(タスク_終了)),"",タスク_終了-タスク_開始+1)</f>
        <v>#VALUE!</v>
      </c>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row>
    <row r="169" spans="1:64" s="37" customFormat="1" ht="30" customHeight="1">
      <c r="A169" s="20"/>
      <c r="B169" s="94" t="inlineStr">
        <is>
          <t>7A-06.PdfDialogクラス（PDF出力ダイアログ）</t>
        </is>
      </c>
      <c r="C169" s="95" t="inlineStr">
        <is>
          <t>江副</t>
        </is>
      </c>
      <c r="D169" s="96">
        <v>0.5</v>
      </c>
      <c r="E169" s="97">
        <v>46342</v>
      </c>
      <c r="F169" s="97">
        <v>46344</v>
      </c>
      <c r="G169" s="36"/>
      <c r="H169" s="36" t="e">
        <f ca="1">IF(OR(ISBLANK(タスク_開始),ISBLANK(タスク_終了)),"",タスク_終了-タスク_開始+1)</f>
        <v>#VALUE!</v>
      </c>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row>
    <row r="170" spans="1:64" s="37" customFormat="1" ht="30" customHeight="1">
      <c r="A170" s="20"/>
      <c r="B170" s="94" t="inlineStr">
        <is>
          <t>7A-07.VehicleSelectorクラス（ベース選択制御）</t>
        </is>
      </c>
      <c r="C170" s="95" t="inlineStr">
        <is>
          <t>上釜</t>
        </is>
      </c>
      <c r="D170" s="96">
        <v>0.5</v>
      </c>
      <c r="E170" s="97">
        <v>46342</v>
      </c>
      <c r="F170" s="97">
        <v>46346</v>
      </c>
      <c r="G170" s="36"/>
      <c r="H170" s="36" t="e">
        <f ca="1">IF(OR(ISBLANK(タスク_開始),ISBLANK(タスク_終了)),"",タスク_終了-タスク_開始+1)</f>
        <v>#VALUE!</v>
      </c>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row>
    <row r="171" spans="1:64" s="37" customFormat="1" ht="30" customHeight="1">
      <c r="A171" s="20"/>
      <c r="B171" s="94" t="inlineStr">
        <is>
          <t>7A-08.CatalogManagerクラス（カタログ管理制御）</t>
        </is>
      </c>
      <c r="C171" s="95" t="inlineStr">
        <is>
          <t>上釜</t>
        </is>
      </c>
      <c r="D171" s="96">
        <v>0.5</v>
      </c>
      <c r="E171" s="97">
        <v>46342</v>
      </c>
      <c r="F171" s="97">
        <v>46346</v>
      </c>
      <c r="G171" s="36"/>
      <c r="H171" s="36" t="e">
        <f ca="1">IF(OR(ISBLANK(タスク_開始),ISBLANK(タスク_終了)),"",タスク_終了-タスク_開始+1)</f>
        <v>#VALUE!</v>
      </c>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row>
    <row r="172" spans="1:64" s="37" customFormat="1" ht="30" customHeight="1">
      <c r="A172" s="20"/>
      <c r="B172" s="94" t="inlineStr">
        <is>
          <t>7A-09.ConstraintCheckerクラス（制約判定）</t>
        </is>
      </c>
      <c r="C172" s="95" t="inlineStr">
        <is>
          <t>上釜</t>
        </is>
      </c>
      <c r="D172" s="96">
        <v>0.5</v>
      </c>
      <c r="E172" s="97">
        <v>46342</v>
      </c>
      <c r="F172" s="97">
        <v>46346</v>
      </c>
      <c r="G172" s="36"/>
      <c r="H172" s="36" t="e">
        <f ca="1">IF(OR(ISBLANK(タスク_開始),ISBLANK(タスク_終了)),"",タスク_終了-タスク_開始+1)</f>
        <v>#VALUE!</v>
      </c>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row>
    <row r="173" spans="1:64" s="37" customFormat="1" ht="30" customHeight="1">
      <c r="A173" s="20"/>
      <c r="B173" s="94" t="inlineStr">
        <is>
          <t>7A-10.CustomizeControllerクラス（カスタム制御）</t>
        </is>
      </c>
      <c r="C173" s="95" t="inlineStr">
        <is>
          <t>上釜</t>
        </is>
      </c>
      <c r="D173" s="96">
        <v>0.5</v>
      </c>
      <c r="E173" s="97">
        <v>46342</v>
      </c>
      <c r="F173" s="97">
        <v>46346</v>
      </c>
      <c r="G173" s="36"/>
      <c r="H173" s="36" t="e">
        <f ca="1">IF(OR(ISBLANK(タスク_開始),ISBLANK(タスク_終了)),"",タスク_終了-タスク_開始+1)</f>
        <v>#VALUE!</v>
      </c>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row>
    <row r="174" spans="1:64" s="37" customFormat="1" ht="30" customHeight="1">
      <c r="A174" s="20"/>
      <c r="B174" s="94" t="inlineStr">
        <is>
          <t>7A-11.HistoryManagerクラス（履歴管理）</t>
        </is>
      </c>
      <c r="C174" s="95" t="inlineStr">
        <is>
          <t>上釜</t>
        </is>
      </c>
      <c r="D174" s="96">
        <v>0.5</v>
      </c>
      <c r="E174" s="97">
        <v>46342</v>
      </c>
      <c r="F174" s="97">
        <v>46346</v>
      </c>
      <c r="G174" s="36"/>
      <c r="H174" s="36" t="e">
        <f ca="1">IF(OR(ISBLANK(タスク_開始),ISBLANK(タスク_終了)),"",タスク_終了-タスク_開始+1)</f>
        <v>#VALUE!</v>
      </c>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row>
    <row r="175" spans="1:64" s="37" customFormat="1" ht="30" customHeight="1">
      <c r="A175" s="20"/>
      <c r="B175" s="94" t="inlineStr">
        <is>
          <t>7A-12.CompareControllerクラス（比較制御）</t>
        </is>
      </c>
      <c r="C175" s="95" t="inlineStr">
        <is>
          <t>上釜</t>
        </is>
      </c>
      <c r="D175" s="96">
        <v>0.5</v>
      </c>
      <c r="E175" s="97">
        <v>46342</v>
      </c>
      <c r="F175" s="97">
        <v>46346</v>
      </c>
      <c r="G175" s="36"/>
      <c r="H175" s="36" t="e">
        <f ca="1">IF(OR(ISBLANK(タスク_開始),ISBLANK(タスク_終了)),"",タスク_終了-タスク_開始+1)</f>
        <v>#VALUE!</v>
      </c>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row>
    <row r="176" spans="1:64" s="37" customFormat="1" ht="30" customHeight="1">
      <c r="A176" s="20"/>
      <c r="B176" s="94" t="inlineStr">
        <is>
          <t>7A-13.BuildRepositoryクラス（保存管理）</t>
        </is>
      </c>
      <c r="C176" s="95" t="inlineStr">
        <is>
          <t>上釜</t>
        </is>
      </c>
      <c r="D176" s="96">
        <v>0.5</v>
      </c>
      <c r="E176" s="97">
        <v>46342</v>
      </c>
      <c r="F176" s="97">
        <v>46346</v>
      </c>
      <c r="G176" s="36"/>
      <c r="H176" s="36" t="e">
        <f ca="1">IF(OR(ISBLANK(タスク_開始),ISBLANK(タスク_終了)),"",タスク_終了-タスク_開始+1)</f>
        <v>#VALUE!</v>
      </c>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row>
    <row r="177" spans="1:64" s="37" customFormat="1" ht="30" customHeight="1">
      <c r="A177" s="20"/>
      <c r="B177" s="94" t="inlineStr">
        <is>
          <t>7A-14.PdfExporterクラス（PDF生成）</t>
        </is>
      </c>
      <c r="C177" s="95" t="inlineStr">
        <is>
          <t>上釜</t>
        </is>
      </c>
      <c r="D177" s="96">
        <v>0.5</v>
      </c>
      <c r="E177" s="97">
        <v>46342</v>
      </c>
      <c r="F177" s="97">
        <v>46346</v>
      </c>
      <c r="G177" s="36"/>
      <c r="H177" s="36" t="e">
        <f ca="1">IF(OR(ISBLANK(タスク_開始),ISBLANK(タスク_終了)),"",タスク_終了-タスク_開始+1)</f>
        <v>#VALUE!</v>
      </c>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row>
    <row r="178" spans="1:64" s="37" customFormat="1" ht="30" customHeight="1">
      <c r="A178" s="20"/>
      <c r="B178" s="94" t="inlineStr">
        <is>
          <t>7A-15.Rendererクラス（描画制御）</t>
        </is>
      </c>
      <c r="C178" s="95" t="inlineStr">
        <is>
          <t>上釜</t>
        </is>
      </c>
      <c r="D178" s="96">
        <v>0.5</v>
      </c>
      <c r="E178" s="97">
        <v>46342</v>
      </c>
      <c r="F178" s="97">
        <v>46346</v>
      </c>
      <c r="G178" s="36"/>
      <c r="H178" s="36" t="e">
        <f ca="1">IF(OR(ISBLANK(タスク_開始),ISBLANK(タスク_終了)),"",タスク_終了-タスク_開始+1)</f>
        <v>#VALUE!</v>
      </c>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row>
    <row r="179" spans="1:64" s="37" customFormat="1" ht="30" customHeight="1">
      <c r="A179" s="20"/>
      <c r="B179" s="94" t="inlineStr">
        <is>
          <t>7A-16.Catalogクラス（カタログ）</t>
        </is>
      </c>
      <c r="C179" s="95" t="inlineStr">
        <is>
          <t>和合</t>
        </is>
      </c>
      <c r="D179" s="96">
        <v>0.5</v>
      </c>
      <c r="E179" s="97">
        <v>46342</v>
      </c>
      <c r="F179" s="97">
        <v>46344</v>
      </c>
      <c r="G179" s="36"/>
      <c r="H179" s="36" t="e">
        <f ca="1">IF(OR(ISBLANK(タスク_開始),ISBLANK(タスク_終了)),"",タスク_終了-タスク_開始+1)</f>
        <v>#VALUE!</v>
      </c>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row>
    <row r="180" spans="1:64" s="37" customFormat="1" ht="30" customHeight="1">
      <c r="A180" s="20"/>
      <c r="B180" s="94" t="inlineStr">
        <is>
          <t>7A-17.BaseVehicleクラス（ベース車両）</t>
        </is>
      </c>
      <c r="C180" s="95" t="inlineStr">
        <is>
          <t>和合</t>
        </is>
      </c>
      <c r="D180" s="96">
        <v>0.5</v>
      </c>
      <c r="E180" s="97">
        <v>46342</v>
      </c>
      <c r="F180" s="97">
        <v>46344</v>
      </c>
      <c r="G180" s="36"/>
      <c r="H180" s="36" t="e">
        <f ca="1">IF(OR(ISBLANK(タスク_開始),ISBLANK(タスク_終了)),"",タスク_終了-タスク_開始+1)</f>
        <v>#VALUE!</v>
      </c>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row>
    <row r="181" spans="1:64" s="37" customFormat="1" ht="30" customHeight="1">
      <c r="A181" s="20"/>
      <c r="B181" s="94" t="inlineStr">
        <is>
          <t>7A-18.PartSlotクラス（部位）</t>
        </is>
      </c>
      <c r="C181" s="95" t="inlineStr">
        <is>
          <t>和合</t>
        </is>
      </c>
      <c r="D181" s="96">
        <v>0.5</v>
      </c>
      <c r="E181" s="97">
        <v>46342</v>
      </c>
      <c r="F181" s="97">
        <v>46344</v>
      </c>
      <c r="G181" s="36"/>
      <c r="H181" s="36" t="e">
        <f ca="1">IF(OR(ISBLANK(タスク_開始),ISBLANK(タスク_終了)),"",タスク_終了-タスク_開始+1)</f>
        <v>#VALUE!</v>
      </c>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row>
    <row r="182" spans="1:64" s="37" customFormat="1" ht="30" customHeight="1">
      <c r="A182" s="20"/>
      <c r="B182" s="94" t="inlineStr">
        <is>
          <t>7A-19.Partクラス（パーツ）</t>
        </is>
      </c>
      <c r="C182" s="95" t="inlineStr">
        <is>
          <t>和合</t>
        </is>
      </c>
      <c r="D182" s="96">
        <v>0.5</v>
      </c>
      <c r="E182" s="97">
        <v>46342</v>
      </c>
      <c r="F182" s="97">
        <v>46344</v>
      </c>
      <c r="G182" s="36"/>
      <c r="H182" s="36" t="e">
        <f ca="1">IF(OR(ISBLANK(タスク_開始),ISBLANK(タスク_終了)),"",タスク_終了-タスク_開始+1)</f>
        <v>#VALUE!</v>
      </c>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row>
    <row r="183" spans="1:64" s="37" customFormat="1" ht="30" customHeight="1">
      <c r="A183" s="20"/>
      <c r="B183" s="94" t="inlineStr">
        <is>
          <t>7A-20.PaintSlotクラス（塗装部位）</t>
        </is>
      </c>
      <c r="C183" s="95" t="inlineStr">
        <is>
          <t>和合</t>
        </is>
      </c>
      <c r="D183" s="96">
        <v>0.5</v>
      </c>
      <c r="E183" s="97">
        <v>46342</v>
      </c>
      <c r="F183" s="97">
        <v>46344</v>
      </c>
      <c r="G183" s="36"/>
      <c r="H183" s="36" t="e">
        <f ca="1">IF(OR(ISBLANK(タスク_開始),ISBLANK(タスク_終了)),"",タスク_終了-タスク_開始+1)</f>
        <v>#VALUE!</v>
      </c>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row>
    <row r="184" spans="1:64" s="37" customFormat="1" ht="30" customHeight="1">
      <c r="A184" s="20"/>
      <c r="B184" s="94" t="inlineStr">
        <is>
          <t>7A-21.Constraintクラス（制約ルール）</t>
        </is>
      </c>
      <c r="C184" s="95" t="inlineStr">
        <is>
          <t>和合</t>
        </is>
      </c>
      <c r="D184" s="96">
        <v>0.5</v>
      </c>
      <c r="E184" s="97">
        <v>46342</v>
      </c>
      <c r="F184" s="97">
        <v>46344</v>
      </c>
      <c r="G184" s="36"/>
      <c r="H184" s="36" t="e">
        <f ca="1">IF(OR(ISBLANK(タスク_開始),ISBLANK(タスク_終了)),"",タスク_終了-タスク_開始+1)</f>
        <v>#VALUE!</v>
      </c>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row>
    <row r="185" spans="1:64" s="37" customFormat="1" ht="30" customHeight="1">
      <c r="A185" s="20"/>
      <c r="B185" s="94" t="inlineStr">
        <is>
          <t>7A-22.BuildSpecクラス（仕様）</t>
        </is>
      </c>
      <c r="C185" s="95" t="inlineStr">
        <is>
          <t>和合</t>
        </is>
      </c>
      <c r="D185" s="96">
        <v>0.5</v>
      </c>
      <c r="E185" s="97">
        <v>46342</v>
      </c>
      <c r="F185" s="97">
        <v>46344</v>
      </c>
      <c r="G185" s="36"/>
      <c r="H185" s="36" t="e">
        <f ca="1">IF(OR(ISBLANK(タスク_開始),ISBLANK(タスク_終了)),"",タスク_終了-タスク_開始+1)</f>
        <v>#VALUE!</v>
      </c>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row>
    <row r="186" spans="1:64" s="37" customFormat="1" ht="30" customHeight="1">
      <c r="A186" s="20"/>
      <c r="B186" s="94" t="inlineStr">
        <is>
          <t>7A-23.Workspaceクラス（作業状態）</t>
        </is>
      </c>
      <c r="C186" s="95" t="inlineStr">
        <is>
          <t>和合</t>
        </is>
      </c>
      <c r="D186" s="96">
        <v>0.5</v>
      </c>
      <c r="E186" s="97">
        <v>46342</v>
      </c>
      <c r="F186" s="97">
        <v>46344</v>
      </c>
      <c r="G186" s="36"/>
      <c r="H186" s="36" t="e">
        <f ca="1">IF(OR(ISBLANK(タスク_開始),ISBLANK(タスク_終了)),"",タスク_終了-タスク_開始+1)</f>
        <v>#VALUE!</v>
      </c>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row>
    <row r="187" spans="1:64" s="37" customFormat="1" ht="30" customHeight="1">
      <c r="A187" s="20"/>
      <c r="B187" s="94" t="inlineStr">
        <is>
          <t>7A-24.EditCommandクラス（変更履歴）</t>
        </is>
      </c>
      <c r="C187" s="95" t="inlineStr">
        <is>
          <t>和合</t>
        </is>
      </c>
      <c r="D187" s="96">
        <v>0.5</v>
      </c>
      <c r="E187" s="97">
        <v>46342</v>
      </c>
      <c r="F187" s="97">
        <v>46344</v>
      </c>
      <c r="G187" s="36"/>
      <c r="H187" s="36" t="e">
        <f ca="1">IF(OR(ISBLANK(タスク_開始),ISBLANK(タスク_終了)),"",タスク_終了-タスク_開始+1)</f>
        <v>#VALUE!</v>
      </c>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row>
    <row r="188" spans="1:64" s="37" customFormat="1" ht="30" customHeight="1">
      <c r="A188" s="20"/>
      <c r="B188" s="94" t="inlineStr">
        <is>
          <t>7A-25.SavedBuildクラス（保存仕様）</t>
        </is>
      </c>
      <c r="C188" s="95" t="inlineStr">
        <is>
          <t>和合</t>
        </is>
      </c>
      <c r="D188" s="96">
        <v>0.5</v>
      </c>
      <c r="E188" s="97">
        <v>46342</v>
      </c>
      <c r="F188" s="97">
        <v>46344</v>
      </c>
      <c r="G188" s="36"/>
      <c r="H188" s="36" t="e">
        <f ca="1">IF(OR(ISBLANK(タスク_開始),ISBLANK(タスク_終了)),"",タスク_終了-タスク_開始+1)</f>
        <v>#VALUE!</v>
      </c>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row>
    <row r="189" spans="1:64" s="37" customFormat="1" ht="30" customHeight="1">
      <c r="A189" s="20"/>
      <c r="B189" s="94" t="inlineStr">
        <is>
          <t>7A-26.LoginScreenクラス（管理者ログイン画面）</t>
        </is>
      </c>
      <c r="C189" s="95" t="inlineStr">
        <is>
          <t>江副</t>
        </is>
      </c>
      <c r="D189" s="96"/>
      <c r="E189" s="97">
        <v>46344</v>
      </c>
      <c r="F189" s="97">
        <v>46345</v>
      </c>
      <c r="G189" s="36"/>
      <c r="H189" s="36" t="e">
        <f ca="1">IF(OR(ISBLANK(タスク_開始),ISBLANK(タスク_終了)),"",タスク_終了-タスク_開始+1)</f>
        <v>#VALUE!</v>
      </c>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row>
    <row r="190" spans="1:64" s="37" customFormat="1" ht="30" customHeight="1">
      <c r="A190" s="20"/>
      <c r="B190" s="94" t="inlineStr">
        <is>
          <t>7A-27.AuthControllerクラス（認証制御）</t>
        </is>
      </c>
      <c r="C190" s="95" t="inlineStr">
        <is>
          <t>上釜</t>
        </is>
      </c>
      <c r="D190" s="96"/>
      <c r="E190" s="97">
        <v>46345</v>
      </c>
      <c r="F190" s="97">
        <v>46346</v>
      </c>
      <c r="G190" s="36"/>
      <c r="H190" s="36" t="e">
        <f ca="1">IF(OR(ISBLANK(タスク_開始),ISBLANK(タスク_終了)),"",タスク_終了-タスク_開始+1)</f>
        <v>#VALUE!</v>
      </c>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row>
    <row r="191" outlineLevel="1" hidden="1" spans="1:64" s="37" customFormat="1" ht="30" customHeight="1">
      <c r="A191" s="20"/>
      <c r="B191" s="94" t="s">
        <v>209</v>
      </c>
      <c r="C191" s="95" t="s">
        <v>44</v>
      </c>
      <c r="D191" s="96" t="s">
        <v>44</v>
      </c>
      <c r="E191" s="97" t="s">
        <v>44</v>
      </c>
      <c r="F191" s="97" t="s">
        <v>44</v>
      </c>
      <c r="G191" s="36"/>
      <c r="H191" s="36" t="e">
        <f ca="1">IF(OR(ISBLANK(タスク_開始),ISBLANK(タスク_終了)),"",タスク_終了-タスク_開始+1)</f>
        <v>#VALUE!</v>
      </c>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row>
    <row r="192" outlineLevel="1" hidden="1" spans="1:64" s="37" customFormat="1" ht="30" customHeight="1">
      <c r="A192" s="20"/>
      <c r="B192" s="94" t="s">
        <v>210</v>
      </c>
      <c r="C192" s="95" t="s">
        <v>44</v>
      </c>
      <c r="D192" s="96" t="s">
        <v>44</v>
      </c>
      <c r="E192" s="97" t="s">
        <v>44</v>
      </c>
      <c r="F192" s="97" t="s">
        <v>44</v>
      </c>
      <c r="G192" s="36"/>
      <c r="H192" s="36" t="e">
        <f ca="1">IF(OR(ISBLANK(タスク_開始),ISBLANK(タスク_終了)),"",タスク_終了-タスク_開始+1)</f>
        <v>#VALUE!</v>
      </c>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row>
    <row r="193" outlineLevel="1" hidden="1" spans="1:64" s="37" customFormat="1" ht="30" customHeight="1">
      <c r="A193" s="20"/>
      <c r="B193" s="94" t="s">
        <v>211</v>
      </c>
      <c r="C193" s="95" t="s">
        <v>44</v>
      </c>
      <c r="D193" s="96" t="s">
        <v>44</v>
      </c>
      <c r="E193" s="97" t="s">
        <v>44</v>
      </c>
      <c r="F193" s="97" t="s">
        <v>44</v>
      </c>
      <c r="G193" s="36"/>
      <c r="H193" s="36" t="e">
        <f ca="1">IF(OR(ISBLANK(タスク_開始),ISBLANK(タスク_終了)),"",タスク_終了-タスク_開始+1)</f>
        <v>#VALUE!</v>
      </c>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row>
    <row r="194" collapsed="1" spans="1:64" s="37" customFormat="1" ht="30" customHeight="1">
      <c r="A194" s="20" t="s">
        <v>74</v>
      </c>
      <c r="B194" s="89" t="s">
        <v>212</v>
      </c>
      <c r="C194" s="90"/>
      <c r="D194" s="91"/>
      <c r="E194" s="92"/>
      <c r="F194" s="93"/>
      <c r="G194" s="36"/>
      <c r="H194" s="36" t="str">
        <f ca="1">IF(OR(ISBLANK(タスク_開始),ISBLANK(タスク_終了)),"",タスク_終了-タスク_開始+1)</f>
        <v/>
      </c>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row>
    <row r="195" spans="1:64" s="37" customFormat="1" ht="30" customHeight="1">
      <c r="A195" s="20"/>
      <c r="B195" s="94" t="inlineStr">
        <is>
          <t>7B-01.ユースケース図（全体）</t>
        </is>
      </c>
      <c r="C195" s="95" t="inlineStr">
        <is>
          <t>上釜</t>
        </is>
      </c>
      <c r="D195" s="96">
        <v>0.5</v>
      </c>
      <c r="E195" s="97">
        <v>46342</v>
      </c>
      <c r="F195" s="97">
        <v>46343</v>
      </c>
      <c r="G195" s="36"/>
      <c r="H195" s="36" t="e">
        <f ca="1">IF(OR(ISBLANK(タスク_開始),ISBLANK(タスク_終了)),"",タスク_終了-タスク_開始+1)</f>
        <v>#VALUE!</v>
      </c>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row>
    <row r="196" spans="1:64" s="37" customFormat="1" ht="30" customHeight="1">
      <c r="A196" s="20"/>
      <c r="B196" s="94" t="inlineStr">
        <is>
          <t>7B-02.管理者ログインの追加</t>
        </is>
      </c>
      <c r="C196" s="95" t="inlineStr">
        <is>
          <t>上釜</t>
        </is>
      </c>
      <c r="D196" s="96"/>
      <c r="E196" s="97">
        <v>46343</v>
      </c>
      <c r="F196" s="97">
        <v>46343</v>
      </c>
      <c r="G196" s="36"/>
      <c r="H196" s="36" t="e">
        <f ca="1">IF(OR(ISBLANK(タスク_開始),ISBLANK(タスク_終了)),"",タスク_終了-タスク_開始+1)</f>
        <v>#VALUE!</v>
      </c>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row>
    <row r="197" outlineLevel="1" hidden="1" spans="1:64" s="37" customFormat="1" ht="30" customHeight="1">
      <c r="A197" s="20"/>
      <c r="B197" s="94" t="s">
        <v>215</v>
      </c>
      <c r="C197" s="95" t="s">
        <v>44</v>
      </c>
      <c r="D197" s="96" t="s">
        <v>44</v>
      </c>
      <c r="E197" s="97" t="s">
        <v>44</v>
      </c>
      <c r="F197" s="97" t="s">
        <v>44</v>
      </c>
      <c r="G197" s="36"/>
      <c r="H197" s="36" t="e">
        <f ca="1">IF(OR(ISBLANK(タスク_開始),ISBLANK(タスク_終了)),"",タスク_終了-タスク_開始+1)</f>
        <v>#VALUE!</v>
      </c>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row>
    <row r="198" outlineLevel="1" hidden="1" spans="1:64" s="37" customFormat="1" ht="30" customHeight="1">
      <c r="A198" s="20"/>
      <c r="B198" s="94" t="s">
        <v>216</v>
      </c>
      <c r="C198" s="95" t="s">
        <v>44</v>
      </c>
      <c r="D198" s="96" t="s">
        <v>44</v>
      </c>
      <c r="E198" s="97" t="s">
        <v>44</v>
      </c>
      <c r="F198" s="97" t="s">
        <v>44</v>
      </c>
      <c r="G198" s="36"/>
      <c r="H198" s="36" t="e">
        <f ca="1">IF(OR(ISBLANK(タスク_開始),ISBLANK(タスク_終了)),"",タスク_終了-タスク_開始+1)</f>
        <v>#VALUE!</v>
      </c>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row>
    <row r="199" outlineLevel="1" hidden="1" spans="1:64" s="37" customFormat="1" ht="30" customHeight="1">
      <c r="A199" s="20"/>
      <c r="B199" s="94" t="s">
        <v>217</v>
      </c>
      <c r="C199" s="95" t="s">
        <v>44</v>
      </c>
      <c r="D199" s="96" t="s">
        <v>44</v>
      </c>
      <c r="E199" s="97" t="s">
        <v>44</v>
      </c>
      <c r="F199" s="97" t="s">
        <v>44</v>
      </c>
      <c r="G199" s="36"/>
      <c r="H199" s="36" t="e">
        <f ca="1">IF(OR(ISBLANK(タスク_開始),ISBLANK(タスク_終了)),"",タスク_終了-タスク_開始+1)</f>
        <v>#VALUE!</v>
      </c>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row>
    <row r="200" outlineLevel="1" hidden="1" spans="1:64" s="37" customFormat="1" ht="30" customHeight="1">
      <c r="A200" s="20"/>
      <c r="B200" s="94" t="s">
        <v>218</v>
      </c>
      <c r="C200" s="95" t="s">
        <v>44</v>
      </c>
      <c r="D200" s="96" t="s">
        <v>44</v>
      </c>
      <c r="E200" s="97" t="s">
        <v>44</v>
      </c>
      <c r="F200" s="97" t="s">
        <v>44</v>
      </c>
      <c r="G200" s="36"/>
      <c r="H200" s="36" t="e">
        <f ca="1">IF(OR(ISBLANK(タスク_開始),ISBLANK(タスク_終了)),"",タスク_終了-タスク_開始+1)</f>
        <v>#VALUE!</v>
      </c>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row>
    <row r="201" outlineLevel="1" hidden="1" spans="1:64" s="37" customFormat="1" ht="30" customHeight="1">
      <c r="A201" s="20"/>
      <c r="B201" s="94" t="s">
        <v>219</v>
      </c>
      <c r="C201" s="95" t="s">
        <v>44</v>
      </c>
      <c r="D201" s="96" t="s">
        <v>44</v>
      </c>
      <c r="E201" s="97" t="s">
        <v>44</v>
      </c>
      <c r="F201" s="97" t="s">
        <v>44</v>
      </c>
      <c r="G201" s="36"/>
      <c r="H201" s="36" t="e">
        <f ca="1">IF(OR(ISBLANK(タスク_開始),ISBLANK(タスク_終了)),"",タスク_終了-タスク_開始+1)</f>
        <v>#VALUE!</v>
      </c>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row>
    <row r="202" outlineLevel="1" hidden="1" spans="1:64" s="37" customFormat="1" ht="30" customHeight="1">
      <c r="A202" s="20"/>
      <c r="B202" s="94" t="s">
        <v>220</v>
      </c>
      <c r="C202" s="95" t="s">
        <v>44</v>
      </c>
      <c r="D202" s="96" t="s">
        <v>44</v>
      </c>
      <c r="E202" s="97" t="s">
        <v>44</v>
      </c>
      <c r="F202" s="97" t="s">
        <v>44</v>
      </c>
      <c r="G202" s="36"/>
      <c r="H202" s="36" t="e">
        <f ca="1">IF(OR(ISBLANK(タスク_開始),ISBLANK(タスク_終了)),"",タスク_終了-タスク_開始+1)</f>
        <v>#VALUE!</v>
      </c>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row>
    <row r="203" outlineLevel="1" hidden="1" spans="1:64" s="37" customFormat="1" ht="30" customHeight="1">
      <c r="A203" s="20"/>
      <c r="B203" s="94" t="s">
        <v>221</v>
      </c>
      <c r="C203" s="95" t="s">
        <v>44</v>
      </c>
      <c r="D203" s="96" t="s">
        <v>44</v>
      </c>
      <c r="E203" s="97" t="s">
        <v>44</v>
      </c>
      <c r="F203" s="97" t="s">
        <v>44</v>
      </c>
      <c r="G203" s="36"/>
      <c r="H203" s="36" t="e">
        <f ca="1">IF(OR(ISBLANK(タスク_開始),ISBLANK(タスク_終了)),"",タスク_終了-タスク_開始+1)</f>
        <v>#VALUE!</v>
      </c>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row>
    <row r="204" outlineLevel="1" hidden="1" spans="1:64" s="37" customFormat="1" ht="30" customHeight="1">
      <c r="A204" s="20"/>
      <c r="B204" s="94" t="s">
        <v>222</v>
      </c>
      <c r="C204" s="95" t="s">
        <v>44</v>
      </c>
      <c r="D204" s="96" t="s">
        <v>44</v>
      </c>
      <c r="E204" s="97" t="s">
        <v>44</v>
      </c>
      <c r="F204" s="97" t="s">
        <v>44</v>
      </c>
      <c r="G204" s="36"/>
      <c r="H204" s="36" t="e">
        <f ca="1">IF(OR(ISBLANK(タスク_開始),ISBLANK(タスク_終了)),"",タスク_終了-タスク_開始+1)</f>
        <v>#VALUE!</v>
      </c>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row>
    <row r="205" outlineLevel="1" hidden="1" spans="1:64" s="37" customFormat="1" ht="30" customHeight="1">
      <c r="A205" s="20"/>
      <c r="B205" s="94" t="s">
        <v>223</v>
      </c>
      <c r="C205" s="95" t="s">
        <v>44</v>
      </c>
      <c r="D205" s="96" t="s">
        <v>44</v>
      </c>
      <c r="E205" s="97" t="s">
        <v>44</v>
      </c>
      <c r="F205" s="97" t="s">
        <v>44</v>
      </c>
      <c r="G205" s="36"/>
      <c r="H205" s="36" t="e">
        <f ca="1">IF(OR(ISBLANK(タスク_開始),ISBLANK(タスク_終了)),"",タスク_終了-タスク_開始+1)</f>
        <v>#VALUE!</v>
      </c>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row>
    <row r="206" outlineLevel="1" hidden="1" spans="1:64" s="37" customFormat="1" ht="30" customHeight="1">
      <c r="A206" s="20"/>
      <c r="B206" s="94" t="s">
        <v>224</v>
      </c>
      <c r="C206" s="95" t="s">
        <v>44</v>
      </c>
      <c r="D206" s="96" t="s">
        <v>44</v>
      </c>
      <c r="E206" s="97" t="s">
        <v>44</v>
      </c>
      <c r="F206" s="97" t="s">
        <v>44</v>
      </c>
      <c r="G206" s="36"/>
      <c r="H206" s="36" t="e">
        <f ca="1">IF(OR(ISBLANK(タスク_開始),ISBLANK(タスク_終了)),"",タスク_終了-タスク_開始+1)</f>
        <v>#VALUE!</v>
      </c>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row>
    <row r="207" outlineLevel="1" hidden="1" spans="1:64" s="37" customFormat="1" ht="30" customHeight="1">
      <c r="A207" s="20"/>
      <c r="B207" s="94" t="s">
        <v>225</v>
      </c>
      <c r="C207" s="95" t="s">
        <v>44</v>
      </c>
      <c r="D207" s="96" t="s">
        <v>44</v>
      </c>
      <c r="E207" s="97" t="s">
        <v>44</v>
      </c>
      <c r="F207" s="97" t="s">
        <v>44</v>
      </c>
      <c r="G207" s="36"/>
      <c r="H207" s="36" t="e">
        <f ca="1">IF(OR(ISBLANK(タスク_開始),ISBLANK(タスク_終了)),"",タスク_終了-タスク_開始+1)</f>
        <v>#VALUE!</v>
      </c>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row>
    <row r="208" outlineLevel="1" hidden="1" spans="1:64" s="37" customFormat="1" ht="30" customHeight="1">
      <c r="A208" s="20"/>
      <c r="B208" s="94" t="s">
        <v>226</v>
      </c>
      <c r="C208" s="95" t="s">
        <v>44</v>
      </c>
      <c r="D208" s="96" t="s">
        <v>44</v>
      </c>
      <c r="E208" s="97" t="s">
        <v>44</v>
      </c>
      <c r="F208" s="97" t="s">
        <v>44</v>
      </c>
      <c r="G208" s="36"/>
      <c r="H208" s="36" t="e">
        <f ca="1">IF(OR(ISBLANK(タスク_開始),ISBLANK(タスク_終了)),"",タスク_終了-タスク_開始+1)</f>
        <v>#VALUE!</v>
      </c>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row>
    <row r="209" outlineLevel="1" hidden="1" spans="1:64" s="37" customFormat="1" ht="30" customHeight="1">
      <c r="A209" s="20"/>
      <c r="B209" s="94" t="s">
        <v>227</v>
      </c>
      <c r="C209" s="95" t="s">
        <v>44</v>
      </c>
      <c r="D209" s="96" t="s">
        <v>44</v>
      </c>
      <c r="E209" s="97" t="s">
        <v>44</v>
      </c>
      <c r="F209" s="97" t="s">
        <v>44</v>
      </c>
      <c r="G209" s="36"/>
      <c r="H209" s="36" t="e">
        <f ca="1">IF(OR(ISBLANK(タスク_開始),ISBLANK(タスク_終了)),"",タスク_終了-タスク_開始+1)</f>
        <v>#VALUE!</v>
      </c>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row>
    <row r="210" outlineLevel="1" hidden="1" spans="1:64" s="37" customFormat="1" ht="30" customHeight="1">
      <c r="A210" s="20"/>
      <c r="B210" s="94" t="s">
        <v>228</v>
      </c>
      <c r="C210" s="95" t="s">
        <v>44</v>
      </c>
      <c r="D210" s="96" t="s">
        <v>44</v>
      </c>
      <c r="E210" s="97" t="s">
        <v>44</v>
      </c>
      <c r="F210" s="97" t="s">
        <v>44</v>
      </c>
      <c r="G210" s="36"/>
      <c r="H210" s="36" t="e">
        <f ca="1">IF(OR(ISBLANK(タスク_開始),ISBLANK(タスク_終了)),"",タスク_終了-タスク_開始+1)</f>
        <v>#VALUE!</v>
      </c>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row>
    <row r="211" outlineLevel="1" hidden="1" spans="1:64" s="37" customFormat="1" ht="30" customHeight="1">
      <c r="A211" s="20"/>
      <c r="B211" s="94" t="s">
        <v>229</v>
      </c>
      <c r="C211" s="95" t="s">
        <v>44</v>
      </c>
      <c r="D211" s="96" t="s">
        <v>44</v>
      </c>
      <c r="E211" s="97" t="s">
        <v>44</v>
      </c>
      <c r="F211" s="97" t="s">
        <v>44</v>
      </c>
      <c r="G211" s="36"/>
      <c r="H211" s="36" t="e">
        <f ca="1">IF(OR(ISBLANK(タスク_開始),ISBLANK(タスク_終了)),"",タスク_終了-タスク_開始+1)</f>
        <v>#VALUE!</v>
      </c>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row>
    <row r="212" outlineLevel="1" hidden="1" spans="1:64" s="37" customFormat="1" ht="30" customHeight="1">
      <c r="A212" s="20"/>
      <c r="B212" s="94" t="s">
        <v>230</v>
      </c>
      <c r="C212" s="95" t="s">
        <v>44</v>
      </c>
      <c r="D212" s="96" t="s">
        <v>44</v>
      </c>
      <c r="E212" s="97" t="s">
        <v>44</v>
      </c>
      <c r="F212" s="97" t="s">
        <v>44</v>
      </c>
      <c r="G212" s="36"/>
      <c r="H212" s="36" t="e">
        <f ca="1">IF(OR(ISBLANK(タスク_開始),ISBLANK(タスク_終了)),"",タスク_終了-タスク_開始+1)</f>
        <v>#VALUE!</v>
      </c>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row>
    <row r="213" outlineLevel="1" hidden="1" spans="1:64" s="37" customFormat="1" ht="30" customHeight="1">
      <c r="A213" s="20"/>
      <c r="B213" s="94" t="s">
        <v>231</v>
      </c>
      <c r="C213" s="95" t="s">
        <v>44</v>
      </c>
      <c r="D213" s="96" t="s">
        <v>44</v>
      </c>
      <c r="E213" s="97" t="s">
        <v>44</v>
      </c>
      <c r="F213" s="97" t="s">
        <v>44</v>
      </c>
      <c r="G213" s="36"/>
      <c r="H213" s="36" t="e">
        <f ca="1">IF(OR(ISBLANK(タスク_開始),ISBLANK(タスク_終了)),"",タスク_終了-タスク_開始+1)</f>
        <v>#VALUE!</v>
      </c>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row>
    <row r="214" outlineLevel="1" hidden="1" spans="1:64" s="37" customFormat="1" ht="30" customHeight="1">
      <c r="A214" s="20"/>
      <c r="B214" s="94" t="s">
        <v>232</v>
      </c>
      <c r="C214" s="95" t="s">
        <v>44</v>
      </c>
      <c r="D214" s="96" t="s">
        <v>44</v>
      </c>
      <c r="E214" s="97" t="s">
        <v>44</v>
      </c>
      <c r="F214" s="97" t="s">
        <v>44</v>
      </c>
      <c r="G214" s="36"/>
      <c r="H214" s="36" t="e">
        <f ca="1">IF(OR(ISBLANK(タスク_開始),ISBLANK(タスク_終了)),"",タスク_終了-タスク_開始+1)</f>
        <v>#VALUE!</v>
      </c>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row>
    <row r="215" outlineLevel="1" hidden="1" spans="1:64" s="37" customFormat="1" ht="30" customHeight="1">
      <c r="A215" s="20"/>
      <c r="B215" s="94" t="s">
        <v>233</v>
      </c>
      <c r="C215" s="95" t="s">
        <v>44</v>
      </c>
      <c r="D215" s="96" t="s">
        <v>44</v>
      </c>
      <c r="E215" s="97" t="s">
        <v>44</v>
      </c>
      <c r="F215" s="97" t="s">
        <v>44</v>
      </c>
      <c r="G215" s="36"/>
      <c r="H215" s="36" t="e">
        <f ca="1">IF(OR(ISBLANK(タスク_開始),ISBLANK(タスク_終了)),"",タスク_終了-タスク_開始+1)</f>
        <v>#VALUE!</v>
      </c>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row>
    <row r="216" outlineLevel="1" hidden="1" spans="1:64" s="37" customFormat="1" ht="30" customHeight="1">
      <c r="A216" s="20"/>
      <c r="B216" s="94" t="s">
        <v>234</v>
      </c>
      <c r="C216" s="95" t="s">
        <v>44</v>
      </c>
      <c r="D216" s="96" t="s">
        <v>44</v>
      </c>
      <c r="E216" s="97" t="s">
        <v>44</v>
      </c>
      <c r="F216" s="97" t="s">
        <v>44</v>
      </c>
      <c r="G216" s="36"/>
      <c r="H216" s="36" t="e">
        <f ca="1">IF(OR(ISBLANK(タスク_開始),ISBLANK(タスク_終了)),"",タスク_終了-タスク_開始+1)</f>
        <v>#VALUE!</v>
      </c>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row>
    <row r="217" outlineLevel="1" hidden="1" spans="1:64" s="37" customFormat="1" ht="30" customHeight="1">
      <c r="A217" s="20"/>
      <c r="B217" s="94" t="s">
        <v>235</v>
      </c>
      <c r="C217" s="95" t="s">
        <v>44</v>
      </c>
      <c r="D217" s="96" t="s">
        <v>44</v>
      </c>
      <c r="E217" s="97" t="s">
        <v>44</v>
      </c>
      <c r="F217" s="97" t="s">
        <v>44</v>
      </c>
      <c r="G217" s="36"/>
      <c r="H217" s="36" t="e">
        <f ca="1">IF(OR(ISBLANK(タスク_開始),ISBLANK(タスク_終了)),"",タスク_終了-タスク_開始+1)</f>
        <v>#VALUE!</v>
      </c>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row>
    <row r="218" outlineLevel="1" hidden="1" spans="1:64" s="37" customFormat="1" ht="30" customHeight="1">
      <c r="A218" s="20"/>
      <c r="B218" s="94" t="s">
        <v>236</v>
      </c>
      <c r="C218" s="95" t="s">
        <v>44</v>
      </c>
      <c r="D218" s="96" t="s">
        <v>44</v>
      </c>
      <c r="E218" s="97" t="s">
        <v>44</v>
      </c>
      <c r="F218" s="97" t="s">
        <v>44</v>
      </c>
      <c r="G218" s="36"/>
      <c r="H218" s="36" t="e">
        <f ca="1">IF(OR(ISBLANK(タスク_開始),ISBLANK(タスク_終了)),"",タスク_終了-タスク_開始+1)</f>
        <v>#VALUE!</v>
      </c>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row>
    <row r="219" outlineLevel="1" hidden="1" spans="1:64" s="37" customFormat="1" ht="30" customHeight="1">
      <c r="A219" s="20"/>
      <c r="B219" s="94" t="s">
        <v>237</v>
      </c>
      <c r="C219" s="95" t="s">
        <v>44</v>
      </c>
      <c r="D219" s="96" t="s">
        <v>44</v>
      </c>
      <c r="E219" s="97" t="s">
        <v>44</v>
      </c>
      <c r="F219" s="97" t="s">
        <v>44</v>
      </c>
      <c r="G219" s="36"/>
      <c r="H219" s="36" t="e">
        <f ca="1">IF(OR(ISBLANK(タスク_開始),ISBLANK(タスク_終了)),"",タスク_終了-タスク_開始+1)</f>
        <v>#VALUE!</v>
      </c>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row>
    <row r="220" outlineLevel="1" hidden="1" spans="1:64" s="37" customFormat="1" ht="30" customHeight="1">
      <c r="A220" s="20"/>
      <c r="B220" s="94" t="s">
        <v>238</v>
      </c>
      <c r="C220" s="95" t="s">
        <v>44</v>
      </c>
      <c r="D220" s="96" t="s">
        <v>44</v>
      </c>
      <c r="E220" s="97" t="s">
        <v>44</v>
      </c>
      <c r="F220" s="97" t="s">
        <v>44</v>
      </c>
      <c r="G220" s="36"/>
      <c r="H220" s="36" t="e">
        <f ca="1">IF(OR(ISBLANK(タスク_開始),ISBLANK(タスク_終了)),"",タスク_終了-タスク_開始+1)</f>
        <v>#VALUE!</v>
      </c>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row>
    <row r="221" outlineLevel="1" hidden="1" spans="1:64" s="37" customFormat="1" ht="30" customHeight="1">
      <c r="A221" s="20"/>
      <c r="B221" s="94" t="s">
        <v>239</v>
      </c>
      <c r="C221" s="95" t="s">
        <v>44</v>
      </c>
      <c r="D221" s="96" t="s">
        <v>44</v>
      </c>
      <c r="E221" s="97" t="s">
        <v>44</v>
      </c>
      <c r="F221" s="97" t="s">
        <v>44</v>
      </c>
      <c r="G221" s="36"/>
      <c r="H221" s="36" t="e">
        <f ca="1">IF(OR(ISBLANK(タスク_開始),ISBLANK(タスク_終了)),"",タスク_終了-タスク_開始+1)</f>
        <v>#VALUE!</v>
      </c>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row>
    <row r="222" outlineLevel="1" hidden="1" spans="1:64" s="37" customFormat="1" ht="30" customHeight="1">
      <c r="A222" s="20"/>
      <c r="B222" s="94" t="s">
        <v>240</v>
      </c>
      <c r="C222" s="95" t="s">
        <v>44</v>
      </c>
      <c r="D222" s="96" t="s">
        <v>44</v>
      </c>
      <c r="E222" s="97" t="s">
        <v>44</v>
      </c>
      <c r="F222" s="97" t="s">
        <v>44</v>
      </c>
      <c r="G222" s="36"/>
      <c r="H222" s="36" t="e">
        <f ca="1">IF(OR(ISBLANK(タスク_開始),ISBLANK(タスク_終了)),"",タスク_終了-タスク_開始+1)</f>
        <v>#VALUE!</v>
      </c>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row>
    <row r="223" outlineLevel="1" hidden="1" spans="1:64" s="37" customFormat="1" ht="30" customHeight="1">
      <c r="A223" s="20"/>
      <c r="B223" s="94" t="s">
        <v>241</v>
      </c>
      <c r="C223" s="95" t="s">
        <v>44</v>
      </c>
      <c r="D223" s="96" t="s">
        <v>44</v>
      </c>
      <c r="E223" s="97" t="s">
        <v>44</v>
      </c>
      <c r="F223" s="97" t="s">
        <v>44</v>
      </c>
      <c r="G223" s="36"/>
      <c r="H223" s="36" t="e">
        <f ca="1">IF(OR(ISBLANK(タスク_開始),ISBLANK(タスク_終了)),"",タスク_終了-タスク_開始+1)</f>
        <v>#VALUE!</v>
      </c>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row>
    <row r="224" outlineLevel="1" hidden="1" spans="1:64" s="37" customFormat="1" ht="30" customHeight="1">
      <c r="A224" s="20"/>
      <c r="B224" s="94" t="s">
        <v>242</v>
      </c>
      <c r="C224" s="95" t="s">
        <v>44</v>
      </c>
      <c r="D224" s="96" t="s">
        <v>44</v>
      </c>
      <c r="E224" s="97" t="s">
        <v>44</v>
      </c>
      <c r="F224" s="97" t="s">
        <v>44</v>
      </c>
      <c r="G224" s="36"/>
      <c r="H224" s="36" t="e">
        <f ca="1">IF(OR(ISBLANK(タスク_開始),ISBLANK(タスク_終了)),"",タスク_終了-タスク_開始+1)</f>
        <v>#VALUE!</v>
      </c>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row>
    <row r="225" collapsed="1" spans="1:64" s="37" customFormat="1" ht="30" customHeight="1">
      <c r="A225" s="20" t="s">
        <v>74</v>
      </c>
      <c r="B225" s="89" t="s">
        <v>243</v>
      </c>
      <c r="C225" s="90"/>
      <c r="D225" s="91"/>
      <c r="E225" s="92"/>
      <c r="F225" s="93"/>
      <c r="G225" s="36"/>
      <c r="H225" s="36" t="str">
        <f ca="1">IF(OR(ISBLANK(タスク_開始),ISBLANK(タスク_終了)),"",タスク_終了-タスク_開始+1)</f>
        <v/>
      </c>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row>
    <row r="226" spans="1:64" s="37" customFormat="1" ht="30" customHeight="1">
      <c r="A226" s="20"/>
      <c r="B226" s="94" t="inlineStr">
        <is>
          <t>7C-01.車両ベース選択機能（2-01）</t>
        </is>
      </c>
      <c r="C226" s="95" t="inlineStr">
        <is>
          <t>上釜</t>
        </is>
      </c>
      <c r="D226" s="96">
        <v>0.5</v>
      </c>
      <c r="E226" s="97">
        <v>46344</v>
      </c>
      <c r="F226" s="97">
        <v>46346</v>
      </c>
      <c r="G226" s="36"/>
      <c r="H226" s="36" t="e">
        <f ca="1">IF(OR(ISBLANK(タスク_開始),ISBLANK(タスク_終了)),"",タスク_終了-タスク_開始+1)</f>
        <v>#VALUE!</v>
      </c>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row>
    <row r="227" spans="1:64" s="37" customFormat="1" ht="30" customHeight="1">
      <c r="A227" s="20"/>
      <c r="B227" s="94" t="inlineStr">
        <is>
          <t>7C-02.ベース車両追加機能（2-02）</t>
        </is>
      </c>
      <c r="C227" s="95" t="inlineStr">
        <is>
          <t>和合</t>
        </is>
      </c>
      <c r="D227" s="96">
        <v>0.5</v>
      </c>
      <c r="E227" s="97">
        <v>46344</v>
      </c>
      <c r="F227" s="97">
        <v>46346</v>
      </c>
      <c r="G227" s="36"/>
      <c r="H227" s="36" t="e">
        <f ca="1">IF(OR(ISBLANK(タスク_開始),ISBLANK(タスク_終了)),"",タスク_終了-タスク_開始+1)</f>
        <v>#VALUE!</v>
      </c>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row>
    <row r="228" spans="1:64" s="37" customFormat="1" ht="30" customHeight="1">
      <c r="A228" s="20"/>
      <c r="B228" s="94" t="inlineStr">
        <is>
          <t>7C-03.パーツ追加機能（2-03）</t>
        </is>
      </c>
      <c r="C228" s="95" t="inlineStr">
        <is>
          <t>和合</t>
        </is>
      </c>
      <c r="D228" s="96">
        <v>0.5</v>
      </c>
      <c r="E228" s="97">
        <v>46344</v>
      </c>
      <c r="F228" s="97">
        <v>46346</v>
      </c>
      <c r="G228" s="36"/>
      <c r="H228" s="36" t="e">
        <f ca="1">IF(OR(ISBLANK(タスク_開始),ISBLANK(タスク_終了)),"",タスク_終了-タスク_開始+1)</f>
        <v>#VALUE!</v>
      </c>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row>
    <row r="229" spans="1:64" s="37" customFormat="1" ht="30" customHeight="1">
      <c r="A229" s="20"/>
      <c r="B229" s="94" t="inlineStr">
        <is>
          <t>7C-04.組み合わせ制約機能（2-04）</t>
        </is>
      </c>
      <c r="C229" s="95" t="inlineStr">
        <is>
          <t>上釜</t>
        </is>
      </c>
      <c r="D229" s="96">
        <v>0.5</v>
      </c>
      <c r="E229" s="97">
        <v>46344</v>
      </c>
      <c r="F229" s="97">
        <v>46346</v>
      </c>
      <c r="G229" s="36"/>
      <c r="H229" s="36" t="e">
        <f ca="1">IF(OR(ISBLANK(タスク_開始),ISBLANK(タスク_終了)),"",タスク_終了-タスク_開始+1)</f>
        <v>#VALUE!</v>
      </c>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row>
    <row r="230" spans="1:64" s="37" customFormat="1" ht="30" customHeight="1">
      <c r="A230" s="20"/>
      <c r="B230" s="94" t="inlineStr">
        <is>
          <t>7C-05.パーツ・塗装選択機能（2-05）</t>
        </is>
      </c>
      <c r="C230" s="95" t="inlineStr">
        <is>
          <t>上釜</t>
        </is>
      </c>
      <c r="D230" s="96">
        <v>0.5</v>
      </c>
      <c r="E230" s="97">
        <v>46344</v>
      </c>
      <c r="F230" s="97">
        <v>46346</v>
      </c>
      <c r="G230" s="36"/>
      <c r="H230" s="36" t="e">
        <f ca="1">IF(OR(ISBLANK(タスク_開始),ISBLANK(タスク_終了)),"",タスク_終了-タスク_開始+1)</f>
        <v>#VALUE!</v>
      </c>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row>
    <row r="231" spans="1:64" s="37" customFormat="1" ht="30" customHeight="1">
      <c r="A231" s="20"/>
      <c r="B231" s="94" t="inlineStr">
        <is>
          <t>7C-06.取り消し機能（2-06）</t>
        </is>
      </c>
      <c r="C231" s="95" t="inlineStr">
        <is>
          <t>江副</t>
        </is>
      </c>
      <c r="D231" s="96">
        <v>0.5</v>
      </c>
      <c r="E231" s="97">
        <v>46344</v>
      </c>
      <c r="F231" s="97">
        <v>46346</v>
      </c>
      <c r="G231" s="36"/>
      <c r="H231" s="36" t="e">
        <f ca="1">IF(OR(ISBLANK(タスク_開始),ISBLANK(タスク_終了)),"",タスク_終了-タスク_開始+1)</f>
        <v>#VALUE!</v>
      </c>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row>
    <row r="232" spans="1:64" s="37" customFormat="1" ht="30" customHeight="1">
      <c r="A232" s="20"/>
      <c r="B232" s="94" t="inlineStr">
        <is>
          <t>7C-07.ビフォーアフター比較機能（2-07）</t>
        </is>
      </c>
      <c r="C232" s="95" t="inlineStr">
        <is>
          <t>江副</t>
        </is>
      </c>
      <c r="D232" s="96">
        <v>0.5</v>
      </c>
      <c r="E232" s="97">
        <v>46344</v>
      </c>
      <c r="F232" s="97">
        <v>46346</v>
      </c>
      <c r="G232" s="36"/>
      <c r="H232" s="36" t="e">
        <f ca="1">IF(OR(ISBLANK(タスク_開始),ISBLANK(タスク_終了)),"",タスク_終了-タスク_開始+1)</f>
        <v>#VALUE!</v>
      </c>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row>
    <row r="233" spans="1:64" s="37" customFormat="1" ht="30" customHeight="1">
      <c r="A233" s="20"/>
      <c r="B233" s="94" t="inlineStr">
        <is>
          <t>7C-08.仕様保存・呼出機能（2-08）</t>
        </is>
      </c>
      <c r="C233" s="95" t="inlineStr">
        <is>
          <t>和合</t>
        </is>
      </c>
      <c r="D233" s="96">
        <v>0.5</v>
      </c>
      <c r="E233" s="97">
        <v>46344</v>
      </c>
      <c r="F233" s="97">
        <v>46346</v>
      </c>
      <c r="G233" s="36"/>
      <c r="H233" s="36" t="e">
        <f ca="1">IF(OR(ISBLANK(タスク_開始),ISBLANK(タスク_終了)),"",タスク_終了-タスク_開始+1)</f>
        <v>#VALUE!</v>
      </c>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row>
    <row r="234" spans="1:64" s="37" customFormat="1" ht="30" customHeight="1">
      <c r="A234" s="20"/>
      <c r="B234" s="94" t="inlineStr">
        <is>
          <t>7C-09.PDF保存機能（2-09）</t>
        </is>
      </c>
      <c r="C234" s="95" t="inlineStr">
        <is>
          <t>江副</t>
        </is>
      </c>
      <c r="D234" s="96">
        <v>0.5</v>
      </c>
      <c r="E234" s="97">
        <v>46344</v>
      </c>
      <c r="F234" s="97">
        <v>46346</v>
      </c>
      <c r="G234" s="36"/>
      <c r="H234" s="36" t="e">
        <f ca="1">IF(OR(ISBLANK(タスク_開始),ISBLANK(タスク_終了)),"",タスク_終了-タスク_開始+1)</f>
        <v>#VALUE!</v>
      </c>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row>
    <row r="235" spans="1:64" s="37" customFormat="1" ht="30" customHeight="1">
      <c r="A235" s="20"/>
      <c r="B235" s="94" t="inlineStr">
        <is>
          <t>7C-10.管理者ログイン機能（2-10）</t>
        </is>
      </c>
      <c r="C235" s="95" t="inlineStr">
        <is>
          <t>上釜</t>
        </is>
      </c>
      <c r="D235" s="96"/>
      <c r="E235" s="97">
        <v>46344</v>
      </c>
      <c r="F235" s="97">
        <v>46346</v>
      </c>
      <c r="G235" s="36"/>
      <c r="H235" s="36" t="e">
        <f ca="1">IF(OR(ISBLANK(タスク_開始),ISBLANK(タスク_終了)),"",タスク_終了-タスク_開始+1)</f>
        <v>#VALUE!</v>
      </c>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row>
    <row r="236" outlineLevel="1" hidden="1" spans="1:64" s="37" customFormat="1" ht="30" customHeight="1">
      <c r="A236" s="20"/>
      <c r="B236" s="94" t="s">
        <v>254</v>
      </c>
      <c r="C236" s="95" t="s">
        <v>44</v>
      </c>
      <c r="D236" s="96" t="s">
        <v>44</v>
      </c>
      <c r="E236" s="97" t="s">
        <v>44</v>
      </c>
      <c r="F236" s="97" t="s">
        <v>44</v>
      </c>
      <c r="G236" s="36"/>
      <c r="H236" s="36" t="e">
        <f ca="1">IF(OR(ISBLANK(タスク_開始),ISBLANK(タスク_終了)),"",タスク_終了-タスク_開始+1)</f>
        <v>#VALUE!</v>
      </c>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row>
    <row r="237" outlineLevel="1" hidden="1" spans="1:64" s="37" customFormat="1" ht="30" customHeight="1">
      <c r="A237" s="20"/>
      <c r="B237" s="94" t="s">
        <v>255</v>
      </c>
      <c r="C237" s="95" t="s">
        <v>44</v>
      </c>
      <c r="D237" s="96" t="s">
        <v>44</v>
      </c>
      <c r="E237" s="97" t="s">
        <v>44</v>
      </c>
      <c r="F237" s="97" t="s">
        <v>44</v>
      </c>
      <c r="G237" s="36"/>
      <c r="H237" s="36" t="e">
        <f ca="1">IF(OR(ISBLANK(タスク_開始),ISBLANK(タスク_終了)),"",タスク_終了-タスク_開始+1)</f>
        <v>#VALUE!</v>
      </c>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row>
    <row r="238" outlineLevel="1" hidden="1" spans="1:64" s="37" customFormat="1" ht="30" customHeight="1">
      <c r="A238" s="20"/>
      <c r="B238" s="94" t="s">
        <v>256</v>
      </c>
      <c r="C238" s="95" t="s">
        <v>44</v>
      </c>
      <c r="D238" s="96" t="s">
        <v>44</v>
      </c>
      <c r="E238" s="97" t="s">
        <v>44</v>
      </c>
      <c r="F238" s="97" t="s">
        <v>44</v>
      </c>
      <c r="G238" s="36"/>
      <c r="H238" s="36" t="e">
        <f ca="1">IF(OR(ISBLANK(タスク_開始),ISBLANK(タスク_終了)),"",タスク_終了-タスク_開始+1)</f>
        <v>#VALUE!</v>
      </c>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row>
    <row r="239" outlineLevel="1" hidden="1" spans="1:64" s="37" customFormat="1" ht="30" customHeight="1">
      <c r="A239" s="20"/>
      <c r="B239" s="94" t="s">
        <v>257</v>
      </c>
      <c r="C239" s="95" t="s">
        <v>44</v>
      </c>
      <c r="D239" s="96" t="s">
        <v>44</v>
      </c>
      <c r="E239" s="97" t="s">
        <v>44</v>
      </c>
      <c r="F239" s="97" t="s">
        <v>44</v>
      </c>
      <c r="G239" s="36"/>
      <c r="H239" s="36" t="e">
        <f ca="1">IF(OR(ISBLANK(タスク_開始),ISBLANK(タスク_終了)),"",タスク_終了-タスク_開始+1)</f>
        <v>#VALUE!</v>
      </c>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row>
    <row r="240" outlineLevel="1" hidden="1" spans="1:64" s="37" customFormat="1" ht="30" customHeight="1">
      <c r="A240" s="20"/>
      <c r="B240" s="94" t="s">
        <v>258</v>
      </c>
      <c r="C240" s="95" t="s">
        <v>44</v>
      </c>
      <c r="D240" s="96" t="s">
        <v>44</v>
      </c>
      <c r="E240" s="97" t="s">
        <v>44</v>
      </c>
      <c r="F240" s="97" t="s">
        <v>44</v>
      </c>
      <c r="G240" s="36"/>
      <c r="H240" s="36" t="e">
        <f ca="1">IF(OR(ISBLANK(タスク_開始),ISBLANK(タスク_終了)),"",タスク_終了-タスク_開始+1)</f>
        <v>#VALUE!</v>
      </c>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row>
    <row r="241" outlineLevel="1" hidden="1" spans="1:64" s="37" customFormat="1" ht="30" customHeight="1">
      <c r="A241" s="20"/>
      <c r="B241" s="94" t="s">
        <v>259</v>
      </c>
      <c r="C241" s="95" t="s">
        <v>44</v>
      </c>
      <c r="D241" s="96" t="s">
        <v>44</v>
      </c>
      <c r="E241" s="97" t="s">
        <v>44</v>
      </c>
      <c r="F241" s="97" t="s">
        <v>44</v>
      </c>
      <c r="G241" s="36"/>
      <c r="H241" s="36" t="e">
        <f ca="1">IF(OR(ISBLANK(タスク_開始),ISBLANK(タスク_終了)),"",タスク_終了-タスク_開始+1)</f>
        <v>#VALUE!</v>
      </c>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row>
    <row r="242" outlineLevel="1" hidden="1" spans="1:64" s="37" customFormat="1" ht="30" customHeight="1">
      <c r="A242" s="20"/>
      <c r="B242" s="94" t="s">
        <v>260</v>
      </c>
      <c r="C242" s="95" t="s">
        <v>44</v>
      </c>
      <c r="D242" s="96" t="s">
        <v>44</v>
      </c>
      <c r="E242" s="97" t="s">
        <v>44</v>
      </c>
      <c r="F242" s="97" t="s">
        <v>44</v>
      </c>
      <c r="G242" s="36"/>
      <c r="H242" s="36" t="e">
        <f ca="1">IF(OR(ISBLANK(タスク_開始),ISBLANK(タスク_終了)),"",タスク_終了-タスク_開始+1)</f>
        <v>#VALUE!</v>
      </c>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row>
    <row r="243" outlineLevel="1" hidden="1" spans="1:64" s="37" customFormat="1" ht="30" customHeight="1">
      <c r="A243" s="20"/>
      <c r="B243" s="94" t="s">
        <v>261</v>
      </c>
      <c r="C243" s="95" t="s">
        <v>44</v>
      </c>
      <c r="D243" s="96" t="s">
        <v>44</v>
      </c>
      <c r="E243" s="97" t="s">
        <v>44</v>
      </c>
      <c r="F243" s="97" t="s">
        <v>44</v>
      </c>
      <c r="G243" s="36"/>
      <c r="H243" s="36" t="e">
        <f ca="1">IF(OR(ISBLANK(タスク_開始),ISBLANK(タスク_終了)),"",タスク_終了-タスク_開始+1)</f>
        <v>#VALUE!</v>
      </c>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row>
    <row r="244" outlineLevel="1" hidden="1" spans="1:64" s="37" customFormat="1" ht="30" customHeight="1">
      <c r="A244" s="20"/>
      <c r="B244" s="94" t="s">
        <v>262</v>
      </c>
      <c r="C244" s="95" t="s">
        <v>44</v>
      </c>
      <c r="D244" s="96" t="s">
        <v>44</v>
      </c>
      <c r="E244" s="97" t="s">
        <v>44</v>
      </c>
      <c r="F244" s="97" t="s">
        <v>44</v>
      </c>
      <c r="G244" s="36"/>
      <c r="H244" s="36" t="e">
        <f ca="1">IF(OR(ISBLANK(タスク_開始),ISBLANK(タスク_終了)),"",タスク_終了-タスク_開始+1)</f>
        <v>#VALUE!</v>
      </c>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row>
    <row r="245" outlineLevel="1" hidden="1" spans="1:64" s="37" customFormat="1" ht="30" customHeight="1">
      <c r="A245" s="20"/>
      <c r="B245" s="94" t="s">
        <v>263</v>
      </c>
      <c r="C245" s="95" t="s">
        <v>44</v>
      </c>
      <c r="D245" s="96" t="s">
        <v>44</v>
      </c>
      <c r="E245" s="97" t="s">
        <v>44</v>
      </c>
      <c r="F245" s="97" t="s">
        <v>44</v>
      </c>
      <c r="G245" s="36"/>
      <c r="H245" s="36" t="e">
        <f ca="1">IF(OR(ISBLANK(タスク_開始),ISBLANK(タスク_終了)),"",タスク_終了-タスク_開始+1)</f>
        <v>#VALUE!</v>
      </c>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row>
    <row r="246" outlineLevel="1" hidden="1" spans="1:64" s="37" customFormat="1" ht="30" customHeight="1">
      <c r="A246" s="20"/>
      <c r="B246" s="94" t="s">
        <v>264</v>
      </c>
      <c r="C246" s="95" t="s">
        <v>44</v>
      </c>
      <c r="D246" s="96" t="s">
        <v>44</v>
      </c>
      <c r="E246" s="97" t="s">
        <v>44</v>
      </c>
      <c r="F246" s="97" t="s">
        <v>44</v>
      </c>
      <c r="G246" s="36"/>
      <c r="H246" s="36" t="e">
        <f ca="1">IF(OR(ISBLANK(タスク_開始),ISBLANK(タスク_終了)),"",タスク_終了-タスク_開始+1)</f>
        <v>#VALUE!</v>
      </c>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row>
    <row r="247" outlineLevel="1" hidden="1" spans="1:64" s="37" customFormat="1" ht="30" customHeight="1">
      <c r="A247" s="20"/>
      <c r="B247" s="94" t="s">
        <v>265</v>
      </c>
      <c r="C247" s="95" t="s">
        <v>44</v>
      </c>
      <c r="D247" s="96" t="s">
        <v>44</v>
      </c>
      <c r="E247" s="97" t="s">
        <v>44</v>
      </c>
      <c r="F247" s="97" t="s">
        <v>44</v>
      </c>
      <c r="G247" s="36"/>
      <c r="H247" s="36" t="e">
        <f ca="1">IF(OR(ISBLANK(タスク_開始),ISBLANK(タスク_終了)),"",タスク_終了-タスク_開始+1)</f>
        <v>#VALUE!</v>
      </c>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row>
    <row r="248" outlineLevel="1" hidden="1" spans="1:64" s="37" customFormat="1" ht="30" customHeight="1">
      <c r="A248" s="20"/>
      <c r="B248" s="94" t="s">
        <v>266</v>
      </c>
      <c r="C248" s="95" t="s">
        <v>44</v>
      </c>
      <c r="D248" s="96" t="s">
        <v>44</v>
      </c>
      <c r="E248" s="97" t="s">
        <v>44</v>
      </c>
      <c r="F248" s="97" t="s">
        <v>44</v>
      </c>
      <c r="G248" s="36"/>
      <c r="H248" s="36" t="e">
        <f ca="1">IF(OR(ISBLANK(タスク_開始),ISBLANK(タスク_終了)),"",タスク_終了-タスク_開始+1)</f>
        <v>#VALUE!</v>
      </c>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row>
    <row r="249" outlineLevel="1" hidden="1" spans="1:64" s="37" customFormat="1" ht="30" customHeight="1">
      <c r="A249" s="20"/>
      <c r="B249" s="94" t="s">
        <v>267</v>
      </c>
      <c r="C249" s="95" t="s">
        <v>44</v>
      </c>
      <c r="D249" s="96" t="s">
        <v>44</v>
      </c>
      <c r="E249" s="97" t="s">
        <v>44</v>
      </c>
      <c r="F249" s="97" t="s">
        <v>44</v>
      </c>
      <c r="G249" s="36"/>
      <c r="H249" s="36" t="e">
        <f ca="1">IF(OR(ISBLANK(タスク_開始),ISBLANK(タスク_終了)),"",タスク_終了-タスク_開始+1)</f>
        <v>#VALUE!</v>
      </c>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row>
    <row r="250" outlineLevel="1" hidden="1" spans="1:64" s="37" customFormat="1" ht="30" customHeight="1">
      <c r="A250" s="20"/>
      <c r="B250" s="94" t="s">
        <v>268</v>
      </c>
      <c r="C250" s="95" t="s">
        <v>44</v>
      </c>
      <c r="D250" s="96" t="s">
        <v>44</v>
      </c>
      <c r="E250" s="97" t="s">
        <v>44</v>
      </c>
      <c r="F250" s="97" t="s">
        <v>44</v>
      </c>
      <c r="G250" s="36"/>
      <c r="H250" s="36" t="e">
        <f ca="1">IF(OR(ISBLANK(タスク_開始),ISBLANK(タスク_終了)),"",タスク_終了-タスク_開始+1)</f>
        <v>#VALUE!</v>
      </c>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row>
    <row r="251" outlineLevel="1" hidden="1" spans="1:64" s="37" customFormat="1" ht="30" customHeight="1">
      <c r="A251" s="20"/>
      <c r="B251" s="94" t="s">
        <v>269</v>
      </c>
      <c r="C251" s="95" t="s">
        <v>44</v>
      </c>
      <c r="D251" s="96" t="s">
        <v>44</v>
      </c>
      <c r="E251" s="97" t="s">
        <v>44</v>
      </c>
      <c r="F251" s="97" t="s">
        <v>44</v>
      </c>
      <c r="G251" s="36"/>
      <c r="H251" s="36" t="e">
        <f ca="1">IF(OR(ISBLANK(タスク_開始),ISBLANK(タスク_終了)),"",タスク_終了-タスク_開始+1)</f>
        <v>#VALUE!</v>
      </c>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row>
    <row r="252" outlineLevel="1" hidden="1" spans="1:64" s="37" customFormat="1" ht="30" customHeight="1">
      <c r="A252" s="20"/>
      <c r="B252" s="94" t="s">
        <v>270</v>
      </c>
      <c r="C252" s="95" t="s">
        <v>44</v>
      </c>
      <c r="D252" s="96" t="s">
        <v>44</v>
      </c>
      <c r="E252" s="97" t="s">
        <v>44</v>
      </c>
      <c r="F252" s="97" t="s">
        <v>44</v>
      </c>
      <c r="G252" s="36"/>
      <c r="H252" s="36" t="e">
        <f ca="1">IF(OR(ISBLANK(タスク_開始),ISBLANK(タスク_終了)),"",タスク_終了-タスク_開始+1)</f>
        <v>#VALUE!</v>
      </c>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row>
    <row r="253" outlineLevel="1" hidden="1" spans="1:64" s="37" customFormat="1" ht="30" customHeight="1">
      <c r="A253" s="20"/>
      <c r="B253" s="94" t="s">
        <v>271</v>
      </c>
      <c r="C253" s="95" t="s">
        <v>44</v>
      </c>
      <c r="D253" s="96" t="s">
        <v>44</v>
      </c>
      <c r="E253" s="97" t="s">
        <v>44</v>
      </c>
      <c r="F253" s="97" t="s">
        <v>44</v>
      </c>
      <c r="G253" s="36"/>
      <c r="H253" s="36" t="e">
        <f ca="1">IF(OR(ISBLANK(タスク_開始),ISBLANK(タスク_終了)),"",タスク_終了-タスク_開始+1)</f>
        <v>#VALUE!</v>
      </c>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row>
    <row r="254" outlineLevel="1" hidden="1" spans="1:64" s="37" customFormat="1" ht="30" customHeight="1">
      <c r="A254" s="20"/>
      <c r="B254" s="94" t="s">
        <v>272</v>
      </c>
      <c r="C254" s="95" t="s">
        <v>44</v>
      </c>
      <c r="D254" s="96" t="s">
        <v>44</v>
      </c>
      <c r="E254" s="97" t="s">
        <v>44</v>
      </c>
      <c r="F254" s="97" t="s">
        <v>44</v>
      </c>
      <c r="G254" s="36"/>
      <c r="H254" s="36" t="e">
        <f ca="1">IF(OR(ISBLANK(タスク_開始),ISBLANK(タスク_終了)),"",タスク_終了-タスク_開始+1)</f>
        <v>#VALUE!</v>
      </c>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row>
    <row r="255" outlineLevel="1" hidden="1" spans="1:64" s="37" customFormat="1" ht="30" customHeight="1">
      <c r="A255" s="20"/>
      <c r="B255" s="94" t="s">
        <v>273</v>
      </c>
      <c r="C255" s="95" t="s">
        <v>44</v>
      </c>
      <c r="D255" s="96" t="s">
        <v>44</v>
      </c>
      <c r="E255" s="97" t="s">
        <v>44</v>
      </c>
      <c r="F255" s="97" t="s">
        <v>44</v>
      </c>
      <c r="G255" s="36"/>
      <c r="H255" s="36" t="e">
        <f ca="1">IF(OR(ISBLANK(タスク_開始),ISBLANK(タスク_終了)),"",タスク_終了-タスク_開始+1)</f>
        <v>#VALUE!</v>
      </c>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row>
    <row r="256" collapsed="1" spans="1:64" s="37" customFormat="1" ht="30" customHeight="1">
      <c r="A256" s="20" t="s">
        <v>74</v>
      </c>
      <c r="B256" s="89" t="s">
        <v>274</v>
      </c>
      <c r="C256" s="90"/>
      <c r="D256" s="91"/>
      <c r="E256" s="92"/>
      <c r="F256" s="93"/>
      <c r="G256" s="36"/>
      <c r="H256" s="36" t="str">
        <f ca="1">IF(OR(ISBLANK(タスク_開始),ISBLANK(タスク_終了)),"",タスク_終了-タスク_開始+1)</f>
        <v/>
      </c>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row>
    <row r="257" spans="1:64" s="37" customFormat="1" ht="30" customHeight="1">
      <c r="A257" s="20"/>
      <c r="B257" s="94" t="inlineStr">
        <is>
          <t>7D-01.車両ベース選択機能（2-01）</t>
        </is>
      </c>
      <c r="C257" s="95" t="inlineStr">
        <is>
          <t>上釜</t>
        </is>
      </c>
      <c r="D257" s="96">
        <v>0.5</v>
      </c>
      <c r="E257" s="97">
        <v>46346</v>
      </c>
      <c r="F257" s="97">
        <v>46350</v>
      </c>
      <c r="G257" s="36"/>
      <c r="H257" s="36" t="e">
        <f ca="1">IF(OR(ISBLANK(タスク_開始),ISBLANK(タスク_終了)),"",タスク_終了-タスク_開始+1)</f>
        <v>#VALUE!</v>
      </c>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row>
    <row r="258" spans="1:64" s="37" customFormat="1" ht="30" customHeight="1">
      <c r="A258" s="20"/>
      <c r="B258" s="94" t="inlineStr">
        <is>
          <t>7D-02.ベース車両追加機能（2-02）</t>
        </is>
      </c>
      <c r="C258" s="95" t="inlineStr">
        <is>
          <t>和合</t>
        </is>
      </c>
      <c r="D258" s="96">
        <v>0.5</v>
      </c>
      <c r="E258" s="97">
        <v>46346</v>
      </c>
      <c r="F258" s="97">
        <v>46350</v>
      </c>
      <c r="G258" s="36"/>
      <c r="H258" s="36" t="e">
        <f ca="1">IF(OR(ISBLANK(タスク_開始),ISBLANK(タスク_終了)),"",タスク_終了-タスク_開始+1)</f>
        <v>#VALUE!</v>
      </c>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row>
    <row r="259" spans="1:64" s="37" customFormat="1" ht="30" customHeight="1">
      <c r="A259" s="20"/>
      <c r="B259" s="94" t="inlineStr">
        <is>
          <t>7D-03.パーツ追加機能（2-03）</t>
        </is>
      </c>
      <c r="C259" s="95" t="inlineStr">
        <is>
          <t>和合</t>
        </is>
      </c>
      <c r="D259" s="96">
        <v>0.5</v>
      </c>
      <c r="E259" s="97">
        <v>46346</v>
      </c>
      <c r="F259" s="97">
        <v>46350</v>
      </c>
      <c r="G259" s="36"/>
      <c r="H259" s="36" t="e">
        <f ca="1">IF(OR(ISBLANK(タスク_開始),ISBLANK(タスク_終了)),"",タスク_終了-タスク_開始+1)</f>
        <v>#VALUE!</v>
      </c>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row>
    <row r="260" spans="1:64" s="37" customFormat="1" ht="30" customHeight="1">
      <c r="A260" s="20"/>
      <c r="B260" s="94" t="inlineStr">
        <is>
          <t>7D-04.組み合わせ制約機能（2-04）</t>
        </is>
      </c>
      <c r="C260" s="95" t="inlineStr">
        <is>
          <t>上釜</t>
        </is>
      </c>
      <c r="D260" s="96">
        <v>0.5</v>
      </c>
      <c r="E260" s="97">
        <v>46346</v>
      </c>
      <c r="F260" s="97">
        <v>46350</v>
      </c>
      <c r="G260" s="36"/>
      <c r="H260" s="36" t="e">
        <f ca="1">IF(OR(ISBLANK(タスク_開始),ISBLANK(タスク_終了)),"",タスク_終了-タスク_開始+1)</f>
        <v>#VALUE!</v>
      </c>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row>
    <row r="261" spans="1:64" s="37" customFormat="1" ht="30" customHeight="1">
      <c r="A261" s="20"/>
      <c r="B261" s="94" t="inlineStr">
        <is>
          <t>7D-05.パーツ・塗装選択機能（2-05）</t>
        </is>
      </c>
      <c r="C261" s="95" t="inlineStr">
        <is>
          <t>上釜</t>
        </is>
      </c>
      <c r="D261" s="96">
        <v>0.5</v>
      </c>
      <c r="E261" s="97">
        <v>46346</v>
      </c>
      <c r="F261" s="97">
        <v>46350</v>
      </c>
      <c r="G261" s="36"/>
      <c r="H261" s="36" t="e">
        <f ca="1">IF(OR(ISBLANK(タスク_開始),ISBLANK(タスク_終了)),"",タスク_終了-タスク_開始+1)</f>
        <v>#VALUE!</v>
      </c>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row>
    <row r="262" spans="1:64" s="37" customFormat="1" ht="30" customHeight="1">
      <c r="A262" s="20"/>
      <c r="B262" s="94" t="inlineStr">
        <is>
          <t>7D-06.取り消し機能（2-06）</t>
        </is>
      </c>
      <c r="C262" s="95" t="inlineStr">
        <is>
          <t>江副</t>
        </is>
      </c>
      <c r="D262" s="96">
        <v>0.5</v>
      </c>
      <c r="E262" s="97">
        <v>46346</v>
      </c>
      <c r="F262" s="97">
        <v>46350</v>
      </c>
      <c r="G262" s="36"/>
      <c r="H262" s="36" t="e">
        <f ca="1">IF(OR(ISBLANK(タスク_開始),ISBLANK(タスク_終了)),"",タスク_終了-タスク_開始+1)</f>
        <v>#VALUE!</v>
      </c>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row>
    <row r="263" spans="1:64" s="37" customFormat="1" ht="30" customHeight="1">
      <c r="A263" s="20"/>
      <c r="B263" s="94" t="inlineStr">
        <is>
          <t>7D-07.ビフォーアフター比較機能（2-07）</t>
        </is>
      </c>
      <c r="C263" s="95" t="inlineStr">
        <is>
          <t>江副</t>
        </is>
      </c>
      <c r="D263" s="96">
        <v>0.5</v>
      </c>
      <c r="E263" s="97">
        <v>46346</v>
      </c>
      <c r="F263" s="97">
        <v>46350</v>
      </c>
      <c r="G263" s="36"/>
      <c r="H263" s="36" t="e">
        <f ca="1">IF(OR(ISBLANK(タスク_開始),ISBLANK(タスク_終了)),"",タスク_終了-タスク_開始+1)</f>
        <v>#VALUE!</v>
      </c>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row>
    <row r="264" spans="1:64" s="37" customFormat="1" ht="30" customHeight="1">
      <c r="A264" s="20"/>
      <c r="B264" s="94" t="inlineStr">
        <is>
          <t>7D-08.仕様保存・呼出機能（2-08）</t>
        </is>
      </c>
      <c r="C264" s="95" t="inlineStr">
        <is>
          <t>和合</t>
        </is>
      </c>
      <c r="D264" s="96">
        <v>0.5</v>
      </c>
      <c r="E264" s="97">
        <v>46346</v>
      </c>
      <c r="F264" s="97">
        <v>46350</v>
      </c>
      <c r="G264" s="36"/>
      <c r="H264" s="36" t="e">
        <f ca="1">IF(OR(ISBLANK(タスク_開始),ISBLANK(タスク_終了)),"",タスク_終了-タスク_開始+1)</f>
        <v>#VALUE!</v>
      </c>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row>
    <row r="265" spans="1:64" s="37" customFormat="1" ht="30" customHeight="1">
      <c r="A265" s="20"/>
      <c r="B265" s="94" t="inlineStr">
        <is>
          <t>7D-09.PDF保存機能（2-09）</t>
        </is>
      </c>
      <c r="C265" s="95" t="inlineStr">
        <is>
          <t>江副</t>
        </is>
      </c>
      <c r="D265" s="96">
        <v>0.5</v>
      </c>
      <c r="E265" s="97">
        <v>46346</v>
      </c>
      <c r="F265" s="97">
        <v>46350</v>
      </c>
      <c r="G265" s="36"/>
      <c r="H265" s="36" t="e">
        <f ca="1">IF(OR(ISBLANK(タスク_開始),ISBLANK(タスク_終了)),"",タスク_終了-タスク_開始+1)</f>
        <v>#VALUE!</v>
      </c>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row>
    <row r="266" spans="1:64" s="37" customFormat="1" ht="30" customHeight="1">
      <c r="A266" s="20"/>
      <c r="B266" s="94" t="inlineStr">
        <is>
          <t>7D-10.管理者ログイン機能（2-10）</t>
        </is>
      </c>
      <c r="C266" s="95" t="inlineStr">
        <is>
          <t>上釜</t>
        </is>
      </c>
      <c r="D266" s="96"/>
      <c r="E266" s="97">
        <v>46346</v>
      </c>
      <c r="F266" s="97">
        <v>46350</v>
      </c>
      <c r="G266" s="36"/>
      <c r="H266" s="36" t="e">
        <f ca="1">IF(OR(ISBLANK(タスク_開始),ISBLANK(タスク_終了)),"",タスク_終了-タスク_開始+1)</f>
        <v>#VALUE!</v>
      </c>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row>
    <row r="267" outlineLevel="1" hidden="1" spans="1:64" s="37" customFormat="1" ht="30" customHeight="1">
      <c r="A267" s="20"/>
      <c r="B267" s="94" t="s">
        <v>285</v>
      </c>
      <c r="C267" s="95" t="s">
        <v>44</v>
      </c>
      <c r="D267" s="96" t="s">
        <v>44</v>
      </c>
      <c r="E267" s="97" t="s">
        <v>44</v>
      </c>
      <c r="F267" s="97" t="s">
        <v>44</v>
      </c>
      <c r="G267" s="36"/>
      <c r="H267" s="36" t="e">
        <f ca="1">IF(OR(ISBLANK(タスク_開始),ISBLANK(タスク_終了)),"",タスク_終了-タスク_開始+1)</f>
        <v>#VALUE!</v>
      </c>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row>
    <row r="268" outlineLevel="1" hidden="1" spans="1:64" s="37" customFormat="1" ht="30" customHeight="1">
      <c r="A268" s="20"/>
      <c r="B268" s="94" t="s">
        <v>286</v>
      </c>
      <c r="C268" s="95" t="s">
        <v>44</v>
      </c>
      <c r="D268" s="96" t="s">
        <v>44</v>
      </c>
      <c r="E268" s="97" t="s">
        <v>44</v>
      </c>
      <c r="F268" s="97" t="s">
        <v>44</v>
      </c>
      <c r="G268" s="36"/>
      <c r="H268" s="36" t="e">
        <f ca="1">IF(OR(ISBLANK(タスク_開始),ISBLANK(タスク_終了)),"",タスク_終了-タスク_開始+1)</f>
        <v>#VALUE!</v>
      </c>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row>
    <row r="269" outlineLevel="1" hidden="1" spans="1:64" s="37" customFormat="1" ht="30" customHeight="1">
      <c r="A269" s="20"/>
      <c r="B269" s="94" t="s">
        <v>287</v>
      </c>
      <c r="C269" s="95" t="s">
        <v>44</v>
      </c>
      <c r="D269" s="96" t="s">
        <v>44</v>
      </c>
      <c r="E269" s="97" t="s">
        <v>44</v>
      </c>
      <c r="F269" s="97" t="s">
        <v>44</v>
      </c>
      <c r="G269" s="36"/>
      <c r="H269" s="36" t="e">
        <f ca="1">IF(OR(ISBLANK(タスク_開始),ISBLANK(タスク_終了)),"",タスク_終了-タスク_開始+1)</f>
        <v>#VALUE!</v>
      </c>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row>
    <row r="270" outlineLevel="1" hidden="1" spans="1:64" s="37" customFormat="1" ht="30" customHeight="1">
      <c r="A270" s="20"/>
      <c r="B270" s="94" t="s">
        <v>288</v>
      </c>
      <c r="C270" s="95" t="s">
        <v>44</v>
      </c>
      <c r="D270" s="96" t="s">
        <v>44</v>
      </c>
      <c r="E270" s="97" t="s">
        <v>44</v>
      </c>
      <c r="F270" s="97" t="s">
        <v>44</v>
      </c>
      <c r="G270" s="36"/>
      <c r="H270" s="36" t="e">
        <f ca="1">IF(OR(ISBLANK(タスク_開始),ISBLANK(タスク_終了)),"",タスク_終了-タスク_開始+1)</f>
        <v>#VALUE!</v>
      </c>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row>
    <row r="271" outlineLevel="1" hidden="1" spans="1:64" s="37" customFormat="1" ht="30" customHeight="1">
      <c r="A271" s="20"/>
      <c r="B271" s="94" t="s">
        <v>289</v>
      </c>
      <c r="C271" s="95" t="s">
        <v>44</v>
      </c>
      <c r="D271" s="96" t="s">
        <v>44</v>
      </c>
      <c r="E271" s="97" t="s">
        <v>44</v>
      </c>
      <c r="F271" s="97" t="s">
        <v>44</v>
      </c>
      <c r="G271" s="36"/>
      <c r="H271" s="36" t="e">
        <f ca="1">IF(OR(ISBLANK(タスク_開始),ISBLANK(タスク_終了)),"",タスク_終了-タスク_開始+1)</f>
        <v>#VALUE!</v>
      </c>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row>
    <row r="272" outlineLevel="1" hidden="1" spans="1:64" s="37" customFormat="1" ht="30" customHeight="1">
      <c r="A272" s="20"/>
      <c r="B272" s="94" t="s">
        <v>290</v>
      </c>
      <c r="C272" s="95" t="s">
        <v>44</v>
      </c>
      <c r="D272" s="96" t="s">
        <v>44</v>
      </c>
      <c r="E272" s="97" t="s">
        <v>44</v>
      </c>
      <c r="F272" s="97" t="s">
        <v>44</v>
      </c>
      <c r="G272" s="36"/>
      <c r="H272" s="36" t="e">
        <f ca="1">IF(OR(ISBLANK(タスク_開始),ISBLANK(タスク_終了)),"",タスク_終了-タスク_開始+1)</f>
        <v>#VALUE!</v>
      </c>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row>
    <row r="273" outlineLevel="1" hidden="1" spans="1:64" s="37" customFormat="1" ht="30" customHeight="1">
      <c r="A273" s="20"/>
      <c r="B273" s="94" t="s">
        <v>291</v>
      </c>
      <c r="C273" s="95" t="s">
        <v>44</v>
      </c>
      <c r="D273" s="96" t="s">
        <v>44</v>
      </c>
      <c r="E273" s="97" t="s">
        <v>44</v>
      </c>
      <c r="F273" s="97" t="s">
        <v>44</v>
      </c>
      <c r="G273" s="36"/>
      <c r="H273" s="36" t="e">
        <f ca="1">IF(OR(ISBLANK(タスク_開始),ISBLANK(タスク_終了)),"",タスク_終了-タスク_開始+1)</f>
        <v>#VALUE!</v>
      </c>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row>
    <row r="274" outlineLevel="1" hidden="1" spans="1:64" s="37" customFormat="1" ht="30" customHeight="1">
      <c r="A274" s="20"/>
      <c r="B274" s="94" t="s">
        <v>292</v>
      </c>
      <c r="C274" s="95" t="s">
        <v>44</v>
      </c>
      <c r="D274" s="96" t="s">
        <v>44</v>
      </c>
      <c r="E274" s="97" t="s">
        <v>44</v>
      </c>
      <c r="F274" s="97" t="s">
        <v>44</v>
      </c>
      <c r="G274" s="36"/>
      <c r="H274" s="36" t="e">
        <f ca="1">IF(OR(ISBLANK(タスク_開始),ISBLANK(タスク_終了)),"",タスク_終了-タスク_開始+1)</f>
        <v>#VALUE!</v>
      </c>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row>
    <row r="275" outlineLevel="1" hidden="1" spans="1:64" s="37" customFormat="1" ht="30" customHeight="1">
      <c r="A275" s="20"/>
      <c r="B275" s="94" t="s">
        <v>293</v>
      </c>
      <c r="C275" s="95" t="s">
        <v>44</v>
      </c>
      <c r="D275" s="96" t="s">
        <v>44</v>
      </c>
      <c r="E275" s="97" t="s">
        <v>44</v>
      </c>
      <c r="F275" s="97" t="s">
        <v>44</v>
      </c>
      <c r="G275" s="36"/>
      <c r="H275" s="36" t="e">
        <f ca="1">IF(OR(ISBLANK(タスク_開始),ISBLANK(タスク_終了)),"",タスク_終了-タスク_開始+1)</f>
        <v>#VALUE!</v>
      </c>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row>
    <row r="276" outlineLevel="1" hidden="1" spans="1:64" s="37" customFormat="1" ht="30" customHeight="1">
      <c r="A276" s="20"/>
      <c r="B276" s="94" t="s">
        <v>294</v>
      </c>
      <c r="C276" s="95" t="s">
        <v>44</v>
      </c>
      <c r="D276" s="96" t="s">
        <v>44</v>
      </c>
      <c r="E276" s="97" t="s">
        <v>44</v>
      </c>
      <c r="F276" s="97" t="s">
        <v>44</v>
      </c>
      <c r="G276" s="36"/>
      <c r="H276" s="36" t="e">
        <f ca="1">IF(OR(ISBLANK(タスク_開始),ISBLANK(タスク_終了)),"",タスク_終了-タスク_開始+1)</f>
        <v>#VALUE!</v>
      </c>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row>
    <row r="277" outlineLevel="1" hidden="1" spans="1:64" s="37" customFormat="1" ht="30" customHeight="1">
      <c r="A277" s="20"/>
      <c r="B277" s="94" t="s">
        <v>295</v>
      </c>
      <c r="C277" s="95" t="s">
        <v>44</v>
      </c>
      <c r="D277" s="96" t="s">
        <v>44</v>
      </c>
      <c r="E277" s="97" t="s">
        <v>44</v>
      </c>
      <c r="F277" s="97" t="s">
        <v>44</v>
      </c>
      <c r="G277" s="36"/>
      <c r="H277" s="36" t="e">
        <f ca="1">IF(OR(ISBLANK(タスク_開始),ISBLANK(タスク_終了)),"",タスク_終了-タスク_開始+1)</f>
        <v>#VALUE!</v>
      </c>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row>
    <row r="278" outlineLevel="1" hidden="1" spans="1:64" s="37" customFormat="1" ht="30" customHeight="1">
      <c r="A278" s="20"/>
      <c r="B278" s="94" t="s">
        <v>296</v>
      </c>
      <c r="C278" s="95" t="s">
        <v>44</v>
      </c>
      <c r="D278" s="96" t="s">
        <v>44</v>
      </c>
      <c r="E278" s="97" t="s">
        <v>44</v>
      </c>
      <c r="F278" s="97" t="s">
        <v>44</v>
      </c>
      <c r="G278" s="36"/>
      <c r="H278" s="36" t="e">
        <f ca="1">IF(OR(ISBLANK(タスク_開始),ISBLANK(タスク_終了)),"",タスク_終了-タスク_開始+1)</f>
        <v>#VALUE!</v>
      </c>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row>
    <row r="279" outlineLevel="1" hidden="1" spans="1:64" s="37" customFormat="1" ht="30" customHeight="1">
      <c r="A279" s="20"/>
      <c r="B279" s="94" t="s">
        <v>297</v>
      </c>
      <c r="C279" s="95" t="s">
        <v>44</v>
      </c>
      <c r="D279" s="96" t="s">
        <v>44</v>
      </c>
      <c r="E279" s="97" t="s">
        <v>44</v>
      </c>
      <c r="F279" s="97" t="s">
        <v>44</v>
      </c>
      <c r="G279" s="36"/>
      <c r="H279" s="36" t="e">
        <f ca="1">IF(OR(ISBLANK(タスク_開始),ISBLANK(タスク_終了)),"",タスク_終了-タスク_開始+1)</f>
        <v>#VALUE!</v>
      </c>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row>
    <row r="280" outlineLevel="1" hidden="1" spans="1:64" s="37" customFormat="1" ht="30" customHeight="1">
      <c r="A280" s="20"/>
      <c r="B280" s="94" t="s">
        <v>298</v>
      </c>
      <c r="C280" s="95" t="s">
        <v>44</v>
      </c>
      <c r="D280" s="96" t="s">
        <v>44</v>
      </c>
      <c r="E280" s="97" t="s">
        <v>44</v>
      </c>
      <c r="F280" s="97" t="s">
        <v>44</v>
      </c>
      <c r="G280" s="36"/>
      <c r="H280" s="36" t="e">
        <f ca="1">IF(OR(ISBLANK(タスク_開始),ISBLANK(タスク_終了)),"",タスク_終了-タスク_開始+1)</f>
        <v>#VALUE!</v>
      </c>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row>
    <row r="281" outlineLevel="1" hidden="1" spans="1:64" s="37" customFormat="1" ht="30" customHeight="1">
      <c r="A281" s="20"/>
      <c r="B281" s="94" t="s">
        <v>299</v>
      </c>
      <c r="C281" s="95" t="s">
        <v>44</v>
      </c>
      <c r="D281" s="96" t="s">
        <v>44</v>
      </c>
      <c r="E281" s="97" t="s">
        <v>44</v>
      </c>
      <c r="F281" s="97" t="s">
        <v>44</v>
      </c>
      <c r="G281" s="36"/>
      <c r="H281" s="36" t="e">
        <f ca="1">IF(OR(ISBLANK(タスク_開始),ISBLANK(タスク_終了)),"",タスク_終了-タスク_開始+1)</f>
        <v>#VALUE!</v>
      </c>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row>
    <row r="282" outlineLevel="1" hidden="1" spans="1:64" s="37" customFormat="1" ht="30" customHeight="1">
      <c r="A282" s="20"/>
      <c r="B282" s="94" t="s">
        <v>300</v>
      </c>
      <c r="C282" s="95" t="s">
        <v>44</v>
      </c>
      <c r="D282" s="96" t="s">
        <v>44</v>
      </c>
      <c r="E282" s="97" t="s">
        <v>44</v>
      </c>
      <c r="F282" s="97" t="s">
        <v>44</v>
      </c>
      <c r="G282" s="36"/>
      <c r="H282" s="36" t="e">
        <f ca="1">IF(OR(ISBLANK(タスク_開始),ISBLANK(タスク_終了)),"",タスク_終了-タスク_開始+1)</f>
        <v>#VALUE!</v>
      </c>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row>
    <row r="283" outlineLevel="1" hidden="1" spans="1:64" s="37" customFormat="1" ht="30" customHeight="1">
      <c r="A283" s="20"/>
      <c r="B283" s="94" t="s">
        <v>301</v>
      </c>
      <c r="C283" s="95" t="s">
        <v>44</v>
      </c>
      <c r="D283" s="96" t="s">
        <v>44</v>
      </c>
      <c r="E283" s="97" t="s">
        <v>44</v>
      </c>
      <c r="F283" s="97" t="s">
        <v>44</v>
      </c>
      <c r="G283" s="36"/>
      <c r="H283" s="36" t="e">
        <f ca="1">IF(OR(ISBLANK(タスク_開始),ISBLANK(タスク_終了)),"",タスク_終了-タスク_開始+1)</f>
        <v>#VALUE!</v>
      </c>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row>
    <row r="284" outlineLevel="1" hidden="1" spans="1:64" s="37" customFormat="1" ht="30" customHeight="1">
      <c r="A284" s="20"/>
      <c r="B284" s="94" t="s">
        <v>302</v>
      </c>
      <c r="C284" s="95" t="s">
        <v>44</v>
      </c>
      <c r="D284" s="96" t="s">
        <v>44</v>
      </c>
      <c r="E284" s="97" t="s">
        <v>44</v>
      </c>
      <c r="F284" s="97" t="s">
        <v>44</v>
      </c>
      <c r="G284" s="36"/>
      <c r="H284" s="36" t="e">
        <f ca="1">IF(OR(ISBLANK(タスク_開始),ISBLANK(タスク_終了)),"",タスク_終了-タスク_開始+1)</f>
        <v>#VALUE!</v>
      </c>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row>
    <row r="285" outlineLevel="1" hidden="1" spans="1:64" s="37" customFormat="1" ht="30" customHeight="1">
      <c r="A285" s="20"/>
      <c r="B285" s="94" t="s">
        <v>303</v>
      </c>
      <c r="C285" s="95" t="s">
        <v>44</v>
      </c>
      <c r="D285" s="96" t="s">
        <v>44</v>
      </c>
      <c r="E285" s="97" t="s">
        <v>44</v>
      </c>
      <c r="F285" s="97" t="s">
        <v>44</v>
      </c>
      <c r="G285" s="36"/>
      <c r="H285" s="36" t="e">
        <f ca="1">IF(OR(ISBLANK(タスク_開始),ISBLANK(タスク_終了)),"",タスク_終了-タスク_開始+1)</f>
        <v>#VALUE!</v>
      </c>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row>
    <row r="286" outlineLevel="1" hidden="1" spans="1:64" s="37" customFormat="1" ht="30" customHeight="1">
      <c r="A286" s="20"/>
      <c r="B286" s="94" t="s">
        <v>304</v>
      </c>
      <c r="C286" s="95" t="s">
        <v>44</v>
      </c>
      <c r="D286" s="96" t="s">
        <v>44</v>
      </c>
      <c r="E286" s="97" t="s">
        <v>44</v>
      </c>
      <c r="F286" s="97" t="s">
        <v>44</v>
      </c>
      <c r="G286" s="36"/>
      <c r="H286" s="36" t="e">
        <f ca="1">IF(OR(ISBLANK(タスク_開始),ISBLANK(タスク_終了)),"",タスク_終了-タスク_開始+1)</f>
        <v>#VALUE!</v>
      </c>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row>
    <row r="287" collapsed="1" spans="1:64" s="37" customFormat="1" ht="30" customHeight="1">
      <c r="A287" s="20" t="s">
        <v>74</v>
      </c>
      <c r="B287" s="89" t="s">
        <v>305</v>
      </c>
      <c r="C287" s="90"/>
      <c r="D287" s="91"/>
      <c r="E287" s="92"/>
      <c r="F287" s="93"/>
      <c r="G287" s="36"/>
      <c r="H287" s="36" t="str">
        <f ca="1">IF(OR(ISBLANK(タスク_開始),ISBLANK(タスク_終了)),"",タスク_終了-タスク_開始+1)</f>
        <v/>
      </c>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row>
    <row r="288" spans="1:64" s="37" customFormat="1" ht="30" customHeight="1">
      <c r="A288" s="20"/>
      <c r="B288" s="94" t="inlineStr">
        <is>
          <t>7E-01.車両ベース選択機能（2-01）</t>
        </is>
      </c>
      <c r="C288" s="95" t="inlineStr">
        <is>
          <t>上釜</t>
        </is>
      </c>
      <c r="D288" s="96">
        <v>0.5</v>
      </c>
      <c r="E288" s="97">
        <v>46350</v>
      </c>
      <c r="F288" s="97">
        <v>46353</v>
      </c>
      <c r="G288" s="36"/>
      <c r="H288" s="36" t="e">
        <f ca="1">IF(OR(ISBLANK(タスク_開始),ISBLANK(タスク_終了)),"",タスク_終了-タスク_開始+1)</f>
        <v>#VALUE!</v>
      </c>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row>
    <row r="289" spans="1:64" s="37" customFormat="1" ht="30" customHeight="1">
      <c r="A289" s="20"/>
      <c r="B289" s="94" t="inlineStr">
        <is>
          <t>7E-02.ベース車両追加機能（2-02）</t>
        </is>
      </c>
      <c r="C289" s="95" t="inlineStr">
        <is>
          <t>和合</t>
        </is>
      </c>
      <c r="D289" s="96">
        <v>0.5</v>
      </c>
      <c r="E289" s="97">
        <v>46350</v>
      </c>
      <c r="F289" s="97">
        <v>46353</v>
      </c>
      <c r="G289" s="36"/>
      <c r="H289" s="36" t="e">
        <f ca="1">IF(OR(ISBLANK(タスク_開始),ISBLANK(タスク_終了)),"",タスク_終了-タスク_開始+1)</f>
        <v>#VALUE!</v>
      </c>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row>
    <row r="290" spans="1:64" s="37" customFormat="1" ht="30" customHeight="1">
      <c r="A290" s="20"/>
      <c r="B290" s="94" t="inlineStr">
        <is>
          <t>7E-03.パーツ追加機能（2-03）</t>
        </is>
      </c>
      <c r="C290" s="95" t="inlineStr">
        <is>
          <t>和合</t>
        </is>
      </c>
      <c r="D290" s="96">
        <v>0.5</v>
      </c>
      <c r="E290" s="97">
        <v>46350</v>
      </c>
      <c r="F290" s="97">
        <v>46353</v>
      </c>
      <c r="G290" s="36"/>
      <c r="H290" s="36" t="e">
        <f ca="1">IF(OR(ISBLANK(タスク_開始),ISBLANK(タスク_終了)),"",タスク_終了-タスク_開始+1)</f>
        <v>#VALUE!</v>
      </c>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row>
    <row r="291" spans="1:64" s="37" customFormat="1" ht="30" customHeight="1">
      <c r="A291" s="20"/>
      <c r="B291" s="94" t="inlineStr">
        <is>
          <t>7E-04.組み合わせ制約機能（2-04）</t>
        </is>
      </c>
      <c r="C291" s="95" t="inlineStr">
        <is>
          <t>上釜</t>
        </is>
      </c>
      <c r="D291" s="96">
        <v>0.5</v>
      </c>
      <c r="E291" s="97">
        <v>46350</v>
      </c>
      <c r="F291" s="97">
        <v>46353</v>
      </c>
      <c r="G291" s="36"/>
      <c r="H291" s="36" t="e">
        <f ca="1">IF(OR(ISBLANK(タスク_開始),ISBLANK(タスク_終了)),"",タスク_終了-タスク_開始+1)</f>
        <v>#VALUE!</v>
      </c>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row>
    <row r="292" spans="1:64" s="37" customFormat="1" ht="30" customHeight="1">
      <c r="A292" s="20"/>
      <c r="B292" s="94" t="inlineStr">
        <is>
          <t>7E-05.パーツ・塗装選択機能（2-05）</t>
        </is>
      </c>
      <c r="C292" s="95" t="inlineStr">
        <is>
          <t>上釜</t>
        </is>
      </c>
      <c r="D292" s="96">
        <v>0.5</v>
      </c>
      <c r="E292" s="97">
        <v>46350</v>
      </c>
      <c r="F292" s="97">
        <v>46353</v>
      </c>
      <c r="G292" s="36"/>
      <c r="H292" s="36" t="e">
        <f ca="1">IF(OR(ISBLANK(タスク_開始),ISBLANK(タスク_終了)),"",タスク_終了-タスク_開始+1)</f>
        <v>#VALUE!</v>
      </c>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row>
    <row r="293" spans="1:64" s="37" customFormat="1" ht="30" customHeight="1">
      <c r="A293" s="20"/>
      <c r="B293" s="94" t="inlineStr">
        <is>
          <t>7E-06.取り消し機能（2-06）</t>
        </is>
      </c>
      <c r="C293" s="95" t="inlineStr">
        <is>
          <t>江副</t>
        </is>
      </c>
      <c r="D293" s="96">
        <v>0.5</v>
      </c>
      <c r="E293" s="97">
        <v>46350</v>
      </c>
      <c r="F293" s="97">
        <v>46353</v>
      </c>
      <c r="G293" s="36"/>
      <c r="H293" s="36" t="e">
        <f ca="1">IF(OR(ISBLANK(タスク_開始),ISBLANK(タスク_終了)),"",タスク_終了-タスク_開始+1)</f>
        <v>#VALUE!</v>
      </c>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row>
    <row r="294" spans="1:64" s="37" customFormat="1" ht="30" customHeight="1">
      <c r="A294" s="20"/>
      <c r="B294" s="94" t="inlineStr">
        <is>
          <t>7E-07.ビフォーアフター比較機能（2-07）</t>
        </is>
      </c>
      <c r="C294" s="95" t="inlineStr">
        <is>
          <t>江副</t>
        </is>
      </c>
      <c r="D294" s="96">
        <v>0.5</v>
      </c>
      <c r="E294" s="97">
        <v>46350</v>
      </c>
      <c r="F294" s="97">
        <v>46353</v>
      </c>
      <c r="G294" s="36"/>
      <c r="H294" s="36" t="e">
        <f ca="1">IF(OR(ISBLANK(タスク_開始),ISBLANK(タスク_終了)),"",タスク_終了-タスク_開始+1)</f>
        <v>#VALUE!</v>
      </c>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row>
    <row r="295" spans="1:64" s="37" customFormat="1" ht="30" customHeight="1">
      <c r="A295" s="20"/>
      <c r="B295" s="94" t="inlineStr">
        <is>
          <t>7E-08.仕様保存・呼出機能（2-08）</t>
        </is>
      </c>
      <c r="C295" s="95" t="inlineStr">
        <is>
          <t>和合</t>
        </is>
      </c>
      <c r="D295" s="96">
        <v>0.5</v>
      </c>
      <c r="E295" s="97">
        <v>46350</v>
      </c>
      <c r="F295" s="97">
        <v>46353</v>
      </c>
      <c r="G295" s="36"/>
      <c r="H295" s="36" t="e">
        <f ca="1">IF(OR(ISBLANK(タスク_開始),ISBLANK(タスク_終了)),"",タスク_終了-タスク_開始+1)</f>
        <v>#VALUE!</v>
      </c>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row>
    <row r="296" spans="1:64" s="37" customFormat="1" ht="30" customHeight="1">
      <c r="A296" s="20"/>
      <c r="B296" s="94" t="inlineStr">
        <is>
          <t>7E-09.PDF保存機能（2-09）</t>
        </is>
      </c>
      <c r="C296" s="95" t="inlineStr">
        <is>
          <t>江副</t>
        </is>
      </c>
      <c r="D296" s="96">
        <v>0.5</v>
      </c>
      <c r="E296" s="97">
        <v>46350</v>
      </c>
      <c r="F296" s="97">
        <v>46353</v>
      </c>
      <c r="G296" s="36"/>
      <c r="H296" s="36" t="e">
        <f ca="1">IF(OR(ISBLANK(タスク_開始),ISBLANK(タスク_終了)),"",タスク_終了-タスク_開始+1)</f>
        <v>#VALUE!</v>
      </c>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row>
    <row r="297" spans="1:64" s="37" customFormat="1" ht="30" customHeight="1">
      <c r="A297" s="20"/>
      <c r="B297" s="94" t="inlineStr">
        <is>
          <t>7E-10.管理者ログイン機能（2-10）</t>
        </is>
      </c>
      <c r="C297" s="95" t="inlineStr">
        <is>
          <t>上釜</t>
        </is>
      </c>
      <c r="D297" s="96"/>
      <c r="E297" s="97">
        <v>46350</v>
      </c>
      <c r="F297" s="97">
        <v>46353</v>
      </c>
      <c r="G297" s="36"/>
      <c r="H297" s="36" t="e">
        <f ca="1">IF(OR(ISBLANK(タスク_開始),ISBLANK(タスク_終了)),"",タスク_終了-タスク_開始+1)</f>
        <v>#VALUE!</v>
      </c>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row>
    <row r="298" outlineLevel="1" hidden="1" spans="1:64" s="37" customFormat="1" ht="30" customHeight="1">
      <c r="A298" s="20"/>
      <c r="B298" s="94" t="s">
        <v>316</v>
      </c>
      <c r="C298" s="95" t="s">
        <v>44</v>
      </c>
      <c r="D298" s="96" t="s">
        <v>44</v>
      </c>
      <c r="E298" s="97" t="s">
        <v>44</v>
      </c>
      <c r="F298" s="97" t="s">
        <v>44</v>
      </c>
      <c r="G298" s="36"/>
      <c r="H298" s="36" t="e">
        <f ca="1">IF(OR(ISBLANK(タスク_開始),ISBLANK(タスク_終了)),"",タスク_終了-タスク_開始+1)</f>
        <v>#VALUE!</v>
      </c>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row>
    <row r="299" outlineLevel="1" hidden="1" spans="1:64" s="37" customFormat="1" ht="30" customHeight="1">
      <c r="A299" s="20"/>
      <c r="B299" s="94" t="s">
        <v>317</v>
      </c>
      <c r="C299" s="95" t="s">
        <v>44</v>
      </c>
      <c r="D299" s="96" t="s">
        <v>44</v>
      </c>
      <c r="E299" s="97" t="s">
        <v>44</v>
      </c>
      <c r="F299" s="97" t="s">
        <v>44</v>
      </c>
      <c r="G299" s="36"/>
      <c r="H299" s="36" t="e">
        <f ca="1">IF(OR(ISBLANK(タスク_開始),ISBLANK(タスク_終了)),"",タスク_終了-タスク_開始+1)</f>
        <v>#VALUE!</v>
      </c>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row>
    <row r="300" outlineLevel="1" hidden="1" spans="1:64" s="37" customFormat="1" ht="30" customHeight="1">
      <c r="A300" s="20"/>
      <c r="B300" s="94" t="s">
        <v>318</v>
      </c>
      <c r="C300" s="95" t="s">
        <v>44</v>
      </c>
      <c r="D300" s="96" t="s">
        <v>44</v>
      </c>
      <c r="E300" s="97" t="s">
        <v>44</v>
      </c>
      <c r="F300" s="97" t="s">
        <v>44</v>
      </c>
      <c r="G300" s="36"/>
      <c r="H300" s="36" t="e">
        <f ca="1">IF(OR(ISBLANK(タスク_開始),ISBLANK(タスク_終了)),"",タスク_終了-タスク_開始+1)</f>
        <v>#VALUE!</v>
      </c>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row>
    <row r="301" outlineLevel="1" hidden="1" spans="1:64" s="37" customFormat="1" ht="30" customHeight="1">
      <c r="A301" s="20"/>
      <c r="B301" s="94" t="s">
        <v>319</v>
      </c>
      <c r="C301" s="95" t="s">
        <v>44</v>
      </c>
      <c r="D301" s="96" t="s">
        <v>44</v>
      </c>
      <c r="E301" s="97" t="s">
        <v>44</v>
      </c>
      <c r="F301" s="97" t="s">
        <v>44</v>
      </c>
      <c r="G301" s="36"/>
      <c r="H301" s="36" t="e">
        <f ca="1">IF(OR(ISBLANK(タスク_開始),ISBLANK(タスク_終了)),"",タスク_終了-タスク_開始+1)</f>
        <v>#VALUE!</v>
      </c>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row>
    <row r="302" outlineLevel="1" hidden="1" spans="1:64" s="37" customFormat="1" ht="30" customHeight="1">
      <c r="A302" s="20"/>
      <c r="B302" s="94" t="s">
        <v>320</v>
      </c>
      <c r="C302" s="95" t="s">
        <v>44</v>
      </c>
      <c r="D302" s="96" t="s">
        <v>44</v>
      </c>
      <c r="E302" s="97" t="s">
        <v>44</v>
      </c>
      <c r="F302" s="97" t="s">
        <v>44</v>
      </c>
      <c r="G302" s="36"/>
      <c r="H302" s="36" t="e">
        <f ca="1">IF(OR(ISBLANK(タスク_開始),ISBLANK(タスク_終了)),"",タスク_終了-タスク_開始+1)</f>
        <v>#VALUE!</v>
      </c>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row>
    <row r="303" outlineLevel="1" hidden="1" spans="1:64" s="37" customFormat="1" ht="30" customHeight="1">
      <c r="A303" s="20"/>
      <c r="B303" s="94" t="s">
        <v>321</v>
      </c>
      <c r="C303" s="95" t="s">
        <v>44</v>
      </c>
      <c r="D303" s="96" t="s">
        <v>44</v>
      </c>
      <c r="E303" s="97" t="s">
        <v>44</v>
      </c>
      <c r="F303" s="97" t="s">
        <v>44</v>
      </c>
      <c r="G303" s="36"/>
      <c r="H303" s="36" t="e">
        <f ca="1">IF(OR(ISBLANK(タスク_開始),ISBLANK(タスク_終了)),"",タスク_終了-タスク_開始+1)</f>
        <v>#VALUE!</v>
      </c>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row>
    <row r="304" outlineLevel="1" hidden="1" spans="1:64" s="37" customFormat="1" ht="30" customHeight="1">
      <c r="A304" s="20"/>
      <c r="B304" s="94" t="s">
        <v>322</v>
      </c>
      <c r="C304" s="95" t="s">
        <v>44</v>
      </c>
      <c r="D304" s="96" t="s">
        <v>44</v>
      </c>
      <c r="E304" s="97" t="s">
        <v>44</v>
      </c>
      <c r="F304" s="97" t="s">
        <v>44</v>
      </c>
      <c r="G304" s="36"/>
      <c r="H304" s="36" t="e">
        <f ca="1">IF(OR(ISBLANK(タスク_開始),ISBLANK(タスク_終了)),"",タスク_終了-タスク_開始+1)</f>
        <v>#VALUE!</v>
      </c>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row>
    <row r="305" outlineLevel="1" hidden="1" spans="1:64" s="37" customFormat="1" ht="30" customHeight="1">
      <c r="A305" s="20"/>
      <c r="B305" s="94" t="s">
        <v>323</v>
      </c>
      <c r="C305" s="95" t="s">
        <v>44</v>
      </c>
      <c r="D305" s="96" t="s">
        <v>44</v>
      </c>
      <c r="E305" s="97" t="s">
        <v>44</v>
      </c>
      <c r="F305" s="97" t="s">
        <v>44</v>
      </c>
      <c r="G305" s="36"/>
      <c r="H305" s="36" t="e">
        <f ca="1">IF(OR(ISBLANK(タスク_開始),ISBLANK(タスク_終了)),"",タスク_終了-タスク_開始+1)</f>
        <v>#VALUE!</v>
      </c>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row>
    <row r="306" outlineLevel="1" hidden="1" spans="1:64" s="37" customFormat="1" ht="30" customHeight="1">
      <c r="A306" s="20"/>
      <c r="B306" s="94" t="s">
        <v>324</v>
      </c>
      <c r="C306" s="95" t="s">
        <v>44</v>
      </c>
      <c r="D306" s="96" t="s">
        <v>44</v>
      </c>
      <c r="E306" s="97" t="s">
        <v>44</v>
      </c>
      <c r="F306" s="97" t="s">
        <v>44</v>
      </c>
      <c r="G306" s="36"/>
      <c r="H306" s="36" t="e">
        <f ca="1">IF(OR(ISBLANK(タスク_開始),ISBLANK(タスク_終了)),"",タスク_終了-タスク_開始+1)</f>
        <v>#VALUE!</v>
      </c>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row>
    <row r="307" outlineLevel="1" hidden="1" spans="1:64" s="37" customFormat="1" ht="30" customHeight="1">
      <c r="A307" s="20"/>
      <c r="B307" s="94" t="s">
        <v>325</v>
      </c>
      <c r="C307" s="95" t="s">
        <v>44</v>
      </c>
      <c r="D307" s="96" t="s">
        <v>44</v>
      </c>
      <c r="E307" s="97" t="s">
        <v>44</v>
      </c>
      <c r="F307" s="97" t="s">
        <v>44</v>
      </c>
      <c r="G307" s="36"/>
      <c r="H307" s="36" t="e">
        <f ca="1">IF(OR(ISBLANK(タスク_開始),ISBLANK(タスク_終了)),"",タスク_終了-タスク_開始+1)</f>
        <v>#VALUE!</v>
      </c>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row>
    <row r="308" outlineLevel="1" hidden="1" spans="1:64" s="37" customFormat="1" ht="30" customHeight="1">
      <c r="A308" s="20"/>
      <c r="B308" s="94" t="s">
        <v>326</v>
      </c>
      <c r="C308" s="95" t="s">
        <v>44</v>
      </c>
      <c r="D308" s="96" t="s">
        <v>44</v>
      </c>
      <c r="E308" s="97" t="s">
        <v>44</v>
      </c>
      <c r="F308" s="97" t="s">
        <v>44</v>
      </c>
      <c r="G308" s="36"/>
      <c r="H308" s="36" t="e">
        <f ca="1">IF(OR(ISBLANK(タスク_開始),ISBLANK(タスク_終了)),"",タスク_終了-タスク_開始+1)</f>
        <v>#VALUE!</v>
      </c>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row>
    <row r="309" outlineLevel="1" hidden="1" spans="1:64" s="37" customFormat="1" ht="30" customHeight="1">
      <c r="A309" s="20"/>
      <c r="B309" s="94" t="s">
        <v>327</v>
      </c>
      <c r="C309" s="95" t="s">
        <v>44</v>
      </c>
      <c r="D309" s="96" t="s">
        <v>44</v>
      </c>
      <c r="E309" s="97" t="s">
        <v>44</v>
      </c>
      <c r="F309" s="97" t="s">
        <v>44</v>
      </c>
      <c r="G309" s="36"/>
      <c r="H309" s="36" t="e">
        <f ca="1">IF(OR(ISBLANK(タスク_開始),ISBLANK(タスク_終了)),"",タスク_終了-タスク_開始+1)</f>
        <v>#VALUE!</v>
      </c>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row>
    <row r="310" outlineLevel="1" hidden="1" spans="1:64" s="37" customFormat="1" ht="30" customHeight="1">
      <c r="A310" s="20"/>
      <c r="B310" s="94" t="s">
        <v>328</v>
      </c>
      <c r="C310" s="95" t="s">
        <v>44</v>
      </c>
      <c r="D310" s="96" t="s">
        <v>44</v>
      </c>
      <c r="E310" s="97" t="s">
        <v>44</v>
      </c>
      <c r="F310" s="97" t="s">
        <v>44</v>
      </c>
      <c r="G310" s="36"/>
      <c r="H310" s="36" t="e">
        <f ca="1">IF(OR(ISBLANK(タスク_開始),ISBLANK(タスク_終了)),"",タスク_終了-タスク_開始+1)</f>
        <v>#VALUE!</v>
      </c>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row>
    <row r="311" outlineLevel="1" hidden="1" spans="1:64" s="37" customFormat="1" ht="30" customHeight="1">
      <c r="A311" s="20"/>
      <c r="B311" s="94" t="s">
        <v>329</v>
      </c>
      <c r="C311" s="95" t="s">
        <v>44</v>
      </c>
      <c r="D311" s="96" t="s">
        <v>44</v>
      </c>
      <c r="E311" s="97" t="s">
        <v>44</v>
      </c>
      <c r="F311" s="97" t="s">
        <v>44</v>
      </c>
      <c r="G311" s="36"/>
      <c r="H311" s="36" t="e">
        <f ca="1">IF(OR(ISBLANK(タスク_開始),ISBLANK(タスク_終了)),"",タスク_終了-タスク_開始+1)</f>
        <v>#VALUE!</v>
      </c>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row>
    <row r="312" outlineLevel="1" hidden="1" spans="1:64" s="37" customFormat="1" ht="30" customHeight="1">
      <c r="A312" s="20"/>
      <c r="B312" s="94" t="s">
        <v>330</v>
      </c>
      <c r="C312" s="95" t="s">
        <v>44</v>
      </c>
      <c r="D312" s="96" t="s">
        <v>44</v>
      </c>
      <c r="E312" s="97" t="s">
        <v>44</v>
      </c>
      <c r="F312" s="97" t="s">
        <v>44</v>
      </c>
      <c r="G312" s="36"/>
      <c r="H312" s="36" t="e">
        <f ca="1">IF(OR(ISBLANK(タスク_開始),ISBLANK(タスク_終了)),"",タスク_終了-タスク_開始+1)</f>
        <v>#VALUE!</v>
      </c>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row>
    <row r="313" outlineLevel="1" hidden="1" spans="1:64" s="37" customFormat="1" ht="30" customHeight="1">
      <c r="A313" s="20"/>
      <c r="B313" s="94" t="s">
        <v>331</v>
      </c>
      <c r="C313" s="95" t="s">
        <v>44</v>
      </c>
      <c r="D313" s="96" t="s">
        <v>44</v>
      </c>
      <c r="E313" s="97" t="s">
        <v>44</v>
      </c>
      <c r="F313" s="97" t="s">
        <v>44</v>
      </c>
      <c r="G313" s="36"/>
      <c r="H313" s="36" t="e">
        <f ca="1">IF(OR(ISBLANK(タスク_開始),ISBLANK(タスク_終了)),"",タスク_終了-タスク_開始+1)</f>
        <v>#VALUE!</v>
      </c>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row>
    <row r="314" outlineLevel="1" hidden="1" spans="1:64" s="37" customFormat="1" ht="30" customHeight="1">
      <c r="A314" s="20"/>
      <c r="B314" s="94" t="s">
        <v>332</v>
      </c>
      <c r="C314" s="95" t="s">
        <v>44</v>
      </c>
      <c r="D314" s="96" t="s">
        <v>44</v>
      </c>
      <c r="E314" s="97" t="s">
        <v>44</v>
      </c>
      <c r="F314" s="97" t="s">
        <v>44</v>
      </c>
      <c r="G314" s="36"/>
      <c r="H314" s="36" t="e">
        <f ca="1">IF(OR(ISBLANK(タスク_開始),ISBLANK(タスク_終了)),"",タスク_終了-タスク_開始+1)</f>
        <v>#VALUE!</v>
      </c>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row>
    <row r="315" outlineLevel="1" hidden="1" spans="1:64" s="37" customFormat="1" ht="30" customHeight="1">
      <c r="A315" s="20"/>
      <c r="B315" s="94" t="s">
        <v>333</v>
      </c>
      <c r="C315" s="95" t="s">
        <v>44</v>
      </c>
      <c r="D315" s="96" t="s">
        <v>44</v>
      </c>
      <c r="E315" s="97" t="s">
        <v>44</v>
      </c>
      <c r="F315" s="97" t="s">
        <v>44</v>
      </c>
      <c r="G315" s="36"/>
      <c r="H315" s="36" t="e">
        <f ca="1">IF(OR(ISBLANK(タスク_開始),ISBLANK(タスク_終了)),"",タスク_終了-タスク_開始+1)</f>
        <v>#VALUE!</v>
      </c>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row>
    <row r="316" outlineLevel="1" hidden="1" spans="1:64" s="37" customFormat="1" ht="30" customHeight="1">
      <c r="A316" s="20"/>
      <c r="B316" s="94" t="s">
        <v>334</v>
      </c>
      <c r="C316" s="95" t="s">
        <v>44</v>
      </c>
      <c r="D316" s="96" t="s">
        <v>44</v>
      </c>
      <c r="E316" s="97" t="s">
        <v>44</v>
      </c>
      <c r="F316" s="97" t="s">
        <v>44</v>
      </c>
      <c r="G316" s="36"/>
      <c r="H316" s="36" t="e">
        <f ca="1">IF(OR(ISBLANK(タスク_開始),ISBLANK(タスク_終了)),"",タスク_終了-タスク_開始+1)</f>
        <v>#VALUE!</v>
      </c>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row>
    <row r="317" outlineLevel="1" hidden="1" spans="1:64" s="37" customFormat="1" ht="30" customHeight="1">
      <c r="A317" s="20"/>
      <c r="B317" s="94" t="s">
        <v>335</v>
      </c>
      <c r="C317" s="95" t="s">
        <v>44</v>
      </c>
      <c r="D317" s="96" t="s">
        <v>44</v>
      </c>
      <c r="E317" s="97" t="s">
        <v>44</v>
      </c>
      <c r="F317" s="97" t="s">
        <v>44</v>
      </c>
      <c r="G317" s="36"/>
      <c r="H317" s="36" t="e">
        <f ca="1">IF(OR(ISBLANK(タスク_開始),ISBLANK(タスク_終了)),"",タスク_終了-タスク_開始+1)</f>
        <v>#VALUE!</v>
      </c>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row>
    <row r="318" collapsed="1" spans="1:64" s="37" customFormat="1" ht="30" customHeight="1">
      <c r="A318" s="20" t="s">
        <v>74</v>
      </c>
      <c r="B318" s="98" t="s">
        <v>336</v>
      </c>
      <c r="C318" s="99"/>
      <c r="D318" s="100"/>
      <c r="E318" s="101"/>
      <c r="F318" s="102"/>
      <c r="G318" s="36"/>
      <c r="H318" s="36" t="str">
        <f ca="1">IF(OR(ISBLANK(タスク_開始),ISBLANK(タスク_終了)),"",タスク_終了-タスク_開始+1)</f>
        <v/>
      </c>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row>
    <row r="319" spans="1:64" s="37" customFormat="1" ht="30" customHeight="1">
      <c r="A319" s="20"/>
      <c r="B319" s="103" t="inlineStr">
        <is>
          <t>8-01.開発環境構築（React・Node.js・MySQL）</t>
        </is>
      </c>
      <c r="C319" s="104" t="inlineStr">
        <is>
          <t>全員</t>
        </is>
      </c>
      <c r="D319" s="105"/>
      <c r="E319" s="106">
        <v>46328</v>
      </c>
      <c r="F319" s="106">
        <v>46332</v>
      </c>
      <c r="G319" s="36"/>
      <c r="H319" s="36" t="e">
        <f ca="1">IF(OR(ISBLANK(タスク_開始),ISBLANK(タスク_終了)),"",タスク_終了-タスク_開始+1)</f>
        <v>#VALUE!</v>
      </c>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row>
    <row r="320" spans="1:64" s="37" customFormat="1" ht="30" customHeight="1">
      <c r="A320" s="20"/>
      <c r="B320" s="103" t="inlineStr">
        <is>
          <t>8-02.DB構築・初期データ投入（MySQL）</t>
        </is>
      </c>
      <c r="C320" s="104" t="inlineStr">
        <is>
          <t>和合</t>
        </is>
      </c>
      <c r="D320" s="105"/>
      <c r="E320" s="106">
        <v>46342</v>
      </c>
      <c r="F320" s="106">
        <v>46346</v>
      </c>
      <c r="G320" s="36"/>
      <c r="H320" s="36" t="e">
        <f ca="1">IF(OR(ISBLANK(タスク_開始),ISBLANK(タスク_終了)),"",タスク_終了-タスク_開始+1)</f>
        <v>#VALUE!</v>
      </c>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row>
    <row r="321" spans="1:64" s="37" customFormat="1" ht="30" customHeight="1">
      <c r="A321" s="20"/>
      <c r="B321" s="103" t="inlineStr">
        <is>
          <t>8-03.APIサーバー共通部（Node.js／Express）</t>
        </is>
      </c>
      <c r="C321" s="104" t="inlineStr">
        <is>
          <t>和合</t>
        </is>
      </c>
      <c r="D321" s="105"/>
      <c r="E321" s="106">
        <v>46349</v>
      </c>
      <c r="F321" s="106">
        <v>46353</v>
      </c>
      <c r="G321" s="36"/>
      <c r="H321" s="36" t="e">
        <f ca="1">IF(OR(ISBLANK(タスク_開始),ISBLANK(タスク_終了)),"",タスク_終了-タスク_開始+1)</f>
        <v>#VALUE!</v>
      </c>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row>
    <row r="322" spans="1:64" s="37" customFormat="1" ht="30" customHeight="1">
      <c r="A322" s="20"/>
      <c r="B322" s="103" t="inlineStr">
        <is>
          <t>8-04.車両描画処理（Renderer・BikeView）</t>
        </is>
      </c>
      <c r="C322" s="104" t="inlineStr">
        <is>
          <t>上釜</t>
        </is>
      </c>
      <c r="D322" s="105"/>
      <c r="E322" s="106">
        <v>46342</v>
      </c>
      <c r="F322" s="106">
        <v>46353</v>
      </c>
      <c r="G322" s="36"/>
      <c r="H322" s="36" t="e">
        <f ca="1">IF(OR(ISBLANK(タスク_開始),ISBLANK(タスク_終了)),"",タスク_終了-タスク_開始+1)</f>
        <v>#VALUE!</v>
      </c>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row>
    <row r="323" spans="1:64" s="37" customFormat="1" ht="30" customHeight="1">
      <c r="A323" s="20"/>
      <c r="B323" s="103" t="inlineStr">
        <is>
          <t>8-05.車両ベース選択機能（2-01）</t>
        </is>
      </c>
      <c r="C323" s="104" t="inlineStr">
        <is>
          <t>上釜</t>
        </is>
      </c>
      <c r="D323" s="105"/>
      <c r="E323" s="106">
        <v>46356</v>
      </c>
      <c r="F323" s="106">
        <v>46360</v>
      </c>
      <c r="G323" s="36"/>
      <c r="H323" s="36" t="e">
        <f ca="1">IF(OR(ISBLANK(タスク_開始),ISBLANK(タスク_終了)),"",タスク_終了-タスク_開始+1)</f>
        <v>#VALUE!</v>
      </c>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row>
    <row r="324" spans="1:64" s="37" customFormat="1" ht="30" customHeight="1">
      <c r="A324" s="20"/>
      <c r="B324" s="103" t="inlineStr">
        <is>
          <t>8-06.パーツ・塗装選択機能（2-05）</t>
        </is>
      </c>
      <c r="C324" s="104" t="inlineStr">
        <is>
          <t>上釜</t>
        </is>
      </c>
      <c r="D324" s="105"/>
      <c r="E324" s="106">
        <v>46363</v>
      </c>
      <c r="F324" s="106">
        <v>46367</v>
      </c>
      <c r="G324" s="36"/>
      <c r="H324" s="36" t="e">
        <f ca="1">IF(OR(ISBLANK(タスク_開始),ISBLANK(タスク_終了)),"",タスク_終了-タスク_開始+1)</f>
        <v>#VALUE!</v>
      </c>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row>
    <row r="325" spans="1:64" s="37" customFormat="1" ht="30" customHeight="1">
      <c r="A325" s="20"/>
      <c r="B325" s="103" t="inlineStr">
        <is>
          <t>8-07.組み合わせ制約機能（2-04）</t>
        </is>
      </c>
      <c r="C325" s="104" t="inlineStr">
        <is>
          <t>上釜</t>
        </is>
      </c>
      <c r="D325" s="105"/>
      <c r="E325" s="106">
        <v>46370</v>
      </c>
      <c r="F325" s="106">
        <v>46374</v>
      </c>
      <c r="G325" s="36"/>
      <c r="H325" s="36" t="e">
        <f ca="1">IF(OR(ISBLANK(タスク_開始),ISBLANK(タスク_終了)),"",タスク_終了-タスク_開始+1)</f>
        <v>#VALUE!</v>
      </c>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row>
    <row r="326" spans="1:64" s="37" customFormat="1" ht="30" customHeight="1">
      <c r="A326" s="20"/>
      <c r="B326" s="103" t="inlineStr">
        <is>
          <t>8-08.パーツ追加機能（2-03）</t>
        </is>
      </c>
      <c r="C326" s="104" t="inlineStr">
        <is>
          <t>上釜</t>
        </is>
      </c>
      <c r="D326" s="105"/>
      <c r="E326" s="106">
        <v>46377</v>
      </c>
      <c r="F326" s="106">
        <v>46381</v>
      </c>
      <c r="G326" s="36"/>
      <c r="H326" s="36" t="e">
        <f ca="1">IF(OR(ISBLANK(タスク_開始),ISBLANK(タスク_終了)),"",タスク_終了-タスク_開始+1)</f>
        <v>#VALUE!</v>
      </c>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row>
    <row r="327" spans="1:64" s="37" customFormat="1" ht="30" customHeight="1">
      <c r="A327" s="20"/>
      <c r="B327" s="103" t="inlineStr">
        <is>
          <t>8-09.取り消し機能（2-06）</t>
        </is>
      </c>
      <c r="C327" s="104" t="inlineStr">
        <is>
          <t>江副</t>
        </is>
      </c>
      <c r="D327" s="105"/>
      <c r="E327" s="106">
        <v>46356</v>
      </c>
      <c r="F327" s="106">
        <v>46360</v>
      </c>
      <c r="G327" s="36"/>
      <c r="H327" s="36" t="e">
        <f ca="1">IF(OR(ISBLANK(タスク_開始),ISBLANK(タスク_終了)),"",タスク_終了-タスク_開始+1)</f>
        <v>#VALUE!</v>
      </c>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row>
    <row r="328" spans="1:64" s="37" customFormat="1" ht="30" customHeight="1">
      <c r="A328" s="20"/>
      <c r="B328" s="103" t="inlineStr">
        <is>
          <t>8-10.ビフォーアフター比較機能（2-07）</t>
        </is>
      </c>
      <c r="C328" s="104" t="inlineStr">
        <is>
          <t>江副</t>
        </is>
      </c>
      <c r="D328" s="105"/>
      <c r="E328" s="106">
        <v>46363</v>
      </c>
      <c r="F328" s="106">
        <v>46367</v>
      </c>
      <c r="G328" s="36"/>
      <c r="H328" s="36" t="e">
        <f ca="1">IF(OR(ISBLANK(タスク_開始),ISBLANK(タスク_終了)),"",タスク_終了-タスク_開始+1)</f>
        <v>#VALUE!</v>
      </c>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row>
    <row r="329" spans="1:64" s="37" customFormat="1" ht="30" customHeight="1">
      <c r="A329" s="20"/>
      <c r="B329" s="103" t="inlineStr">
        <is>
          <t>8-11.PDF保存機能（2-09）</t>
        </is>
      </c>
      <c r="C329" s="104" t="inlineStr">
        <is>
          <t>江副</t>
        </is>
      </c>
      <c r="D329" s="105"/>
      <c r="E329" s="106">
        <v>46370</v>
      </c>
      <c r="F329" s="106">
        <v>46381</v>
      </c>
      <c r="G329" s="36"/>
      <c r="H329" s="36" t="e">
        <f ca="1">IF(OR(ISBLANK(タスク_開始),ISBLANK(タスク_終了)),"",タスク_終了-タスク_開始+1)</f>
        <v>#VALUE!</v>
      </c>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row>
    <row r="330" spans="1:64" s="37" customFormat="1" ht="30" customHeight="1">
      <c r="A330" s="20"/>
      <c r="B330" s="103" t="inlineStr">
        <is>
          <t>8-12.仕様保存・呼出機能（2-08）</t>
        </is>
      </c>
      <c r="C330" s="104" t="inlineStr">
        <is>
          <t>和合</t>
        </is>
      </c>
      <c r="D330" s="105"/>
      <c r="E330" s="106">
        <v>46356</v>
      </c>
      <c r="F330" s="106">
        <v>46367</v>
      </c>
      <c r="G330" s="36"/>
      <c r="H330" s="36" t="e">
        <f ca="1">IF(OR(ISBLANK(タスク_開始),ISBLANK(タスク_終了)),"",タスク_終了-タスク_開始+1)</f>
        <v>#VALUE!</v>
      </c>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row>
    <row r="331" spans="1:64" s="37" customFormat="1" ht="30" customHeight="1">
      <c r="A331" s="20"/>
      <c r="B331" s="103" t="inlineStr">
        <is>
          <t>8-13.管理者ログイン機能（2-10）</t>
        </is>
      </c>
      <c r="C331" s="104" t="inlineStr">
        <is>
          <t>和合</t>
        </is>
      </c>
      <c r="D331" s="105"/>
      <c r="E331" s="106">
        <v>46370</v>
      </c>
      <c r="F331" s="106">
        <v>46374</v>
      </c>
      <c r="G331" s="36"/>
      <c r="H331" s="36" t="e">
        <f ca="1">IF(OR(ISBLANK(タスク_開始),ISBLANK(タスク_終了)),"",タスク_終了-タスク_開始+1)</f>
        <v>#VALUE!</v>
      </c>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row>
    <row r="332" spans="1:64" s="37" customFormat="1" ht="30" customHeight="1">
      <c r="A332" s="20"/>
      <c r="B332" s="103" t="inlineStr">
        <is>
          <t>8-14.ベース車両追加機能（2-02）</t>
        </is>
      </c>
      <c r="C332" s="104" t="inlineStr">
        <is>
          <t>和合</t>
        </is>
      </c>
      <c r="D332" s="105"/>
      <c r="E332" s="106">
        <v>46377</v>
      </c>
      <c r="F332" s="106">
        <v>46381</v>
      </c>
      <c r="G332" s="36"/>
      <c r="H332" s="36" t="e">
        <f ca="1">IF(OR(ISBLANK(タスク_開始),ISBLANK(タスク_終了)),"",タスク_終了-タスク_開始+1)</f>
        <v>#VALUE!</v>
      </c>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row>
    <row r="333" outlineLevel="1" hidden="1" spans="1:64" s="37" customFormat="1" ht="30" customHeight="1">
      <c r="A333" s="20"/>
      <c r="B333" s="103" t="s">
        <v>351</v>
      </c>
      <c r="C333" s="104" t="s">
        <v>44</v>
      </c>
      <c r="D333" s="105" t="s">
        <v>44</v>
      </c>
      <c r="E333" s="106" t="s">
        <v>44</v>
      </c>
      <c r="F333" s="106" t="s">
        <v>44</v>
      </c>
      <c r="G333" s="36"/>
      <c r="H333" s="36" t="e">
        <f ca="1">IF(OR(ISBLANK(タスク_開始),ISBLANK(タスク_終了)),"",タスク_終了-タスク_開始+1)</f>
        <v>#VALUE!</v>
      </c>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row>
    <row r="334" outlineLevel="1" hidden="1" spans="1:64" s="37" customFormat="1" ht="30" customHeight="1">
      <c r="A334" s="20"/>
      <c r="B334" s="103" t="s">
        <v>352</v>
      </c>
      <c r="C334" s="104" t="s">
        <v>44</v>
      </c>
      <c r="D334" s="105" t="s">
        <v>44</v>
      </c>
      <c r="E334" s="106" t="s">
        <v>44</v>
      </c>
      <c r="F334" s="106" t="s">
        <v>44</v>
      </c>
      <c r="G334" s="36"/>
      <c r="H334" s="36" t="e">
        <f ca="1">IF(OR(ISBLANK(タスク_開始),ISBLANK(タスク_終了)),"",タスク_終了-タスク_開始+1)</f>
        <v>#VALUE!</v>
      </c>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row>
    <row r="335" outlineLevel="1" hidden="1" spans="1:64" s="37" customFormat="1" ht="30" customHeight="1">
      <c r="A335" s="20"/>
      <c r="B335" s="103" t="s">
        <v>353</v>
      </c>
      <c r="C335" s="104" t="s">
        <v>44</v>
      </c>
      <c r="D335" s="105" t="s">
        <v>44</v>
      </c>
      <c r="E335" s="106" t="s">
        <v>44</v>
      </c>
      <c r="F335" s="106" t="s">
        <v>44</v>
      </c>
      <c r="G335" s="36"/>
      <c r="H335" s="36" t="e">
        <f ca="1">IF(OR(ISBLANK(タスク_開始),ISBLANK(タスク_終了)),"",タスク_終了-タスク_開始+1)</f>
        <v>#VALUE!</v>
      </c>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row>
    <row r="336" outlineLevel="1" hidden="1" spans="1:64" s="37" customFormat="1" ht="30" customHeight="1">
      <c r="A336" s="20"/>
      <c r="B336" s="103" t="s">
        <v>354</v>
      </c>
      <c r="C336" s="104" t="s">
        <v>44</v>
      </c>
      <c r="D336" s="105" t="s">
        <v>44</v>
      </c>
      <c r="E336" s="106" t="s">
        <v>44</v>
      </c>
      <c r="F336" s="106" t="s">
        <v>44</v>
      </c>
      <c r="G336" s="36"/>
      <c r="H336" s="36" t="e">
        <f ca="1">IF(OR(ISBLANK(タスク_開始),ISBLANK(タスク_終了)),"",タスク_終了-タスク_開始+1)</f>
        <v>#VALUE!</v>
      </c>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row>
    <row r="337" outlineLevel="1" hidden="1" spans="1:64" s="37" customFormat="1" ht="30" customHeight="1">
      <c r="A337" s="20"/>
      <c r="B337" s="103" t="s">
        <v>355</v>
      </c>
      <c r="C337" s="104" t="s">
        <v>44</v>
      </c>
      <c r="D337" s="105" t="s">
        <v>44</v>
      </c>
      <c r="E337" s="106" t="s">
        <v>44</v>
      </c>
      <c r="F337" s="106" t="s">
        <v>44</v>
      </c>
      <c r="G337" s="36"/>
      <c r="H337" s="36" t="e">
        <f ca="1">IF(OR(ISBLANK(タスク_開始),ISBLANK(タスク_終了)),"",タスク_終了-タスク_開始+1)</f>
        <v>#VALUE!</v>
      </c>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row>
    <row r="338" outlineLevel="1" hidden="1" spans="1:64" s="37" customFormat="1" ht="30" customHeight="1">
      <c r="A338" s="20"/>
      <c r="B338" s="103" t="s">
        <v>356</v>
      </c>
      <c r="C338" s="104" t="s">
        <v>44</v>
      </c>
      <c r="D338" s="105" t="s">
        <v>44</v>
      </c>
      <c r="E338" s="106" t="s">
        <v>44</v>
      </c>
      <c r="F338" s="106" t="s">
        <v>44</v>
      </c>
      <c r="G338" s="36"/>
      <c r="H338" s="36" t="e">
        <f ca="1">IF(OR(ISBLANK(タスク_開始),ISBLANK(タスク_終了)),"",タスク_終了-タスク_開始+1)</f>
        <v>#VALUE!</v>
      </c>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row>
    <row r="339" outlineLevel="1" hidden="1" spans="1:64" s="37" customFormat="1" ht="30" customHeight="1">
      <c r="A339" s="20"/>
      <c r="B339" s="103" t="s">
        <v>357</v>
      </c>
      <c r="C339" s="104" t="s">
        <v>44</v>
      </c>
      <c r="D339" s="105" t="s">
        <v>44</v>
      </c>
      <c r="E339" s="106" t="s">
        <v>44</v>
      </c>
      <c r="F339" s="106" t="s">
        <v>44</v>
      </c>
      <c r="G339" s="36"/>
      <c r="H339" s="36" t="e">
        <f ca="1">IF(OR(ISBLANK(タスク_開始),ISBLANK(タスク_終了)),"",タスク_終了-タスク_開始+1)</f>
        <v>#VALUE!</v>
      </c>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row>
    <row r="340" outlineLevel="1" hidden="1" spans="1:64" s="37" customFormat="1" ht="30" customHeight="1">
      <c r="A340" s="20"/>
      <c r="B340" s="103" t="s">
        <v>358</v>
      </c>
      <c r="C340" s="104" t="s">
        <v>44</v>
      </c>
      <c r="D340" s="105" t="s">
        <v>44</v>
      </c>
      <c r="E340" s="106" t="s">
        <v>44</v>
      </c>
      <c r="F340" s="106" t="s">
        <v>44</v>
      </c>
      <c r="G340" s="36"/>
      <c r="H340" s="36" t="e">
        <f ca="1">IF(OR(ISBLANK(タスク_開始),ISBLANK(タスク_終了)),"",タスク_終了-タスク_開始+1)</f>
        <v>#VALUE!</v>
      </c>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row>
    <row r="341" outlineLevel="1" hidden="1" spans="1:64" s="37" customFormat="1" ht="30" customHeight="1">
      <c r="A341" s="20"/>
      <c r="B341" s="103" t="s">
        <v>359</v>
      </c>
      <c r="C341" s="104" t="s">
        <v>44</v>
      </c>
      <c r="D341" s="105" t="s">
        <v>44</v>
      </c>
      <c r="E341" s="106" t="s">
        <v>44</v>
      </c>
      <c r="F341" s="106" t="s">
        <v>44</v>
      </c>
      <c r="G341" s="36"/>
      <c r="H341" s="36" t="e">
        <f ca="1">IF(OR(ISBLANK(タスク_開始),ISBLANK(タスク_終了)),"",タスク_終了-タスク_開始+1)</f>
        <v>#VALUE!</v>
      </c>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row>
    <row r="342" outlineLevel="1" hidden="1" spans="1:64" s="37" customFormat="1" ht="30" customHeight="1">
      <c r="A342" s="20"/>
      <c r="B342" s="103" t="s">
        <v>360</v>
      </c>
      <c r="C342" s="104" t="s">
        <v>44</v>
      </c>
      <c r="D342" s="105" t="s">
        <v>44</v>
      </c>
      <c r="E342" s="106" t="s">
        <v>44</v>
      </c>
      <c r="F342" s="106" t="s">
        <v>44</v>
      </c>
      <c r="G342" s="36"/>
      <c r="H342" s="36" t="e">
        <f ca="1">IF(OR(ISBLANK(タスク_開始),ISBLANK(タスク_終了)),"",タスク_終了-タスク_開始+1)</f>
        <v>#VALUE!</v>
      </c>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row>
    <row r="343" outlineLevel="1" hidden="1" spans="1:64" s="37" customFormat="1" ht="30" customHeight="1">
      <c r="A343" s="20"/>
      <c r="B343" s="103" t="s">
        <v>361</v>
      </c>
      <c r="C343" s="104" t="s">
        <v>44</v>
      </c>
      <c r="D343" s="105" t="s">
        <v>44</v>
      </c>
      <c r="E343" s="106" t="s">
        <v>44</v>
      </c>
      <c r="F343" s="106" t="s">
        <v>44</v>
      </c>
      <c r="G343" s="36"/>
      <c r="H343" s="36" t="e">
        <f ca="1">IF(OR(ISBLANK(タスク_開始),ISBLANK(タスク_終了)),"",タスク_終了-タスク_開始+1)</f>
        <v>#VALUE!</v>
      </c>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row>
    <row r="344" outlineLevel="1" hidden="1" spans="1:64" s="37" customFormat="1" ht="30" customHeight="1">
      <c r="A344" s="20"/>
      <c r="B344" s="103" t="s">
        <v>362</v>
      </c>
      <c r="C344" s="104" t="s">
        <v>44</v>
      </c>
      <c r="D344" s="105" t="s">
        <v>44</v>
      </c>
      <c r="E344" s="106" t="s">
        <v>44</v>
      </c>
      <c r="F344" s="106" t="s">
        <v>44</v>
      </c>
      <c r="G344" s="36"/>
      <c r="H344" s="36" t="e">
        <f ca="1">IF(OR(ISBLANK(タスク_開始),ISBLANK(タスク_終了)),"",タスク_終了-タスク_開始+1)</f>
        <v>#VALUE!</v>
      </c>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row>
    <row r="345" outlineLevel="1" hidden="1" spans="1:64" s="37" customFormat="1" ht="30" customHeight="1">
      <c r="A345" s="20"/>
      <c r="B345" s="103" t="s">
        <v>363</v>
      </c>
      <c r="C345" s="104" t="s">
        <v>44</v>
      </c>
      <c r="D345" s="105" t="s">
        <v>44</v>
      </c>
      <c r="E345" s="106" t="s">
        <v>44</v>
      </c>
      <c r="F345" s="106" t="s">
        <v>44</v>
      </c>
      <c r="G345" s="36"/>
      <c r="H345" s="36" t="e">
        <f ca="1">IF(OR(ISBLANK(タスク_開始),ISBLANK(タスク_終了)),"",タスク_終了-タスク_開始+1)</f>
        <v>#VALUE!</v>
      </c>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row>
    <row r="346" outlineLevel="1" hidden="1" spans="1:64" s="37" customFormat="1" ht="30" customHeight="1">
      <c r="A346" s="20"/>
      <c r="B346" s="103" t="s">
        <v>364</v>
      </c>
      <c r="C346" s="104" t="s">
        <v>44</v>
      </c>
      <c r="D346" s="105" t="s">
        <v>44</v>
      </c>
      <c r="E346" s="106" t="s">
        <v>44</v>
      </c>
      <c r="F346" s="106" t="s">
        <v>44</v>
      </c>
      <c r="G346" s="36"/>
      <c r="H346" s="36" t="e">
        <f ca="1">IF(OR(ISBLANK(タスク_開始),ISBLANK(タスク_終了)),"",タスク_終了-タスク_開始+1)</f>
        <v>#VALUE!</v>
      </c>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row>
    <row r="347" outlineLevel="1" hidden="1" spans="1:64" s="37" customFormat="1" ht="30" customHeight="1">
      <c r="A347" s="20"/>
      <c r="B347" s="103" t="s">
        <v>365</v>
      </c>
      <c r="C347" s="104" t="s">
        <v>44</v>
      </c>
      <c r="D347" s="105" t="s">
        <v>44</v>
      </c>
      <c r="E347" s="106" t="s">
        <v>44</v>
      </c>
      <c r="F347" s="106" t="s">
        <v>44</v>
      </c>
      <c r="G347" s="36"/>
      <c r="H347" s="36" t="e">
        <f ca="1">IF(OR(ISBLANK(タスク_開始),ISBLANK(タスク_終了)),"",タスク_終了-タスク_開始+1)</f>
        <v>#VALUE!</v>
      </c>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row>
    <row r="348" outlineLevel="1" hidden="1" spans="1:64" s="37" customFormat="1" ht="30" customHeight="1">
      <c r="A348" s="20"/>
      <c r="B348" s="103" t="s">
        <v>366</v>
      </c>
      <c r="C348" s="104" t="s">
        <v>44</v>
      </c>
      <c r="D348" s="105" t="s">
        <v>44</v>
      </c>
      <c r="E348" s="106" t="s">
        <v>44</v>
      </c>
      <c r="F348" s="106" t="s">
        <v>44</v>
      </c>
      <c r="G348" s="36"/>
      <c r="H348" s="36" t="e">
        <f ca="1">IF(OR(ISBLANK(タスク_開始),ISBLANK(タスク_終了)),"",タスク_終了-タスク_開始+1)</f>
        <v>#VALUE!</v>
      </c>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row>
    <row r="349" collapsed="1" spans="1:64" s="37" customFormat="1" ht="30" customHeight="1">
      <c r="A349" s="20" t="s">
        <v>74</v>
      </c>
      <c r="B349" s="98" t="s">
        <v>367</v>
      </c>
      <c r="C349" s="99"/>
      <c r="D349" s="100"/>
      <c r="E349" s="101"/>
      <c r="F349" s="102"/>
      <c r="G349" s="36"/>
      <c r="H349" s="36" t="str">
        <f ca="1">IF(OR(ISBLANK(タスク_開始),ISBLANK(タスク_終了)),"",タスク_終了-タスク_開始+1)</f>
        <v/>
      </c>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row>
    <row r="350" spans="1:64" s="37" customFormat="1" ht="30" customHeight="1">
      <c r="A350" s="20"/>
      <c r="B350" s="103" t="inlineStr">
        <is>
          <t>9-01.テスト計画・テスト仕様書作成</t>
        </is>
      </c>
      <c r="C350" s="104" t="inlineStr">
        <is>
          <t>全員</t>
        </is>
      </c>
      <c r="D350" s="105"/>
      <c r="E350" s="106">
        <v>46342</v>
      </c>
      <c r="F350" s="106">
        <v>46353</v>
      </c>
      <c r="G350" s="36"/>
      <c r="H350" s="36" t="e">
        <f ca="1">IF(OR(ISBLANK(タスク_開始),ISBLANK(タスク_終了)),"",タスク_終了-タスク_開始+1)</f>
        <v>#VALUE!</v>
      </c>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row>
    <row r="351" spans="1:64" s="37" customFormat="1" ht="30" customHeight="1">
      <c r="A351" s="20"/>
      <c r="B351" s="103" t="inlineStr">
        <is>
          <t>9-02.車両ベース選択機能（2-01）</t>
        </is>
      </c>
      <c r="C351" s="104" t="inlineStr">
        <is>
          <t>上釜</t>
        </is>
      </c>
      <c r="D351" s="105"/>
      <c r="E351" s="106">
        <v>46363</v>
      </c>
      <c r="F351" s="106">
        <v>46363</v>
      </c>
      <c r="G351" s="36"/>
      <c r="H351" s="36" t="e">
        <f ca="1">IF(OR(ISBLANK(タスク_開始),ISBLANK(タスク_終了)),"",タスク_終了-タスク_開始+1)</f>
        <v>#VALUE!</v>
      </c>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row>
    <row r="352" spans="1:64" s="37" customFormat="1" ht="30" customHeight="1">
      <c r="A352" s="20"/>
      <c r="B352" s="103" t="inlineStr">
        <is>
          <t>9-03.パーツ・塗装選択機能（2-05）</t>
        </is>
      </c>
      <c r="C352" s="104" t="inlineStr">
        <is>
          <t>上釜</t>
        </is>
      </c>
      <c r="D352" s="105"/>
      <c r="E352" s="106">
        <v>46370</v>
      </c>
      <c r="F352" s="106">
        <v>46370</v>
      </c>
      <c r="G352" s="36"/>
      <c r="H352" s="36" t="e">
        <f ca="1">IF(OR(ISBLANK(タスク_開始),ISBLANK(タスク_終了)),"",タスク_終了-タスク_開始+1)</f>
        <v>#VALUE!</v>
      </c>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row>
    <row r="353" spans="1:64" s="37" customFormat="1" ht="30" customHeight="1">
      <c r="A353" s="20"/>
      <c r="B353" s="103" t="inlineStr">
        <is>
          <t>9-04.組み合わせ制約機能（2-04）</t>
        </is>
      </c>
      <c r="C353" s="104" t="inlineStr">
        <is>
          <t>上釜</t>
        </is>
      </c>
      <c r="D353" s="105"/>
      <c r="E353" s="106">
        <v>46377</v>
      </c>
      <c r="F353" s="106">
        <v>46377</v>
      </c>
      <c r="G353" s="36"/>
      <c r="H353" s="36" t="e">
        <f ca="1">IF(OR(ISBLANK(タスク_開始),ISBLANK(タスク_終了)),"",タスク_終了-タスク_開始+1)</f>
        <v>#VALUE!</v>
      </c>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row>
    <row r="354" spans="1:64" s="37" customFormat="1" ht="30" customHeight="1">
      <c r="A354" s="20"/>
      <c r="B354" s="103" t="inlineStr">
        <is>
          <t>9-05.パーツ追加機能（2-03）</t>
        </is>
      </c>
      <c r="C354" s="104" t="inlineStr">
        <is>
          <t>上釜</t>
        </is>
      </c>
      <c r="D354" s="105"/>
      <c r="E354" s="106">
        <v>46392</v>
      </c>
      <c r="F354" s="106">
        <v>46392</v>
      </c>
      <c r="G354" s="36"/>
      <c r="H354" s="36" t="e">
        <f ca="1">IF(OR(ISBLANK(タスク_開始),ISBLANK(タスク_終了)),"",タスク_終了-タスク_開始+1)</f>
        <v>#VALUE!</v>
      </c>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row>
    <row r="355" spans="1:64" s="37" customFormat="1" ht="30" customHeight="1">
      <c r="A355" s="20"/>
      <c r="B355" s="103" t="inlineStr">
        <is>
          <t>9-06.取り消し機能（2-06）</t>
        </is>
      </c>
      <c r="C355" s="104" t="inlineStr">
        <is>
          <t>江副</t>
        </is>
      </c>
      <c r="D355" s="105"/>
      <c r="E355" s="106">
        <v>46363</v>
      </c>
      <c r="F355" s="106">
        <v>46363</v>
      </c>
      <c r="G355" s="36"/>
      <c r="H355" s="36" t="e">
        <f ca="1">IF(OR(ISBLANK(タスク_開始),ISBLANK(タスク_終了)),"",タスク_終了-タスク_開始+1)</f>
        <v>#VALUE!</v>
      </c>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row>
    <row r="356" spans="1:64" s="37" customFormat="1" ht="30" customHeight="1">
      <c r="A356" s="20"/>
      <c r="B356" s="103" t="inlineStr">
        <is>
          <t>9-07.ビフォーアフター比較機能（2-07）</t>
        </is>
      </c>
      <c r="C356" s="104" t="inlineStr">
        <is>
          <t>江副</t>
        </is>
      </c>
      <c r="D356" s="105"/>
      <c r="E356" s="106">
        <v>46370</v>
      </c>
      <c r="F356" s="106">
        <v>46370</v>
      </c>
      <c r="G356" s="36"/>
      <c r="H356" s="36" t="e">
        <f ca="1">IF(OR(ISBLANK(タスク_開始),ISBLANK(タスク_終了)),"",タスク_終了-タスク_開始+1)</f>
        <v>#VALUE!</v>
      </c>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row>
    <row r="357" spans="1:64" s="37" customFormat="1" ht="30" customHeight="1">
      <c r="A357" s="20"/>
      <c r="B357" s="103" t="inlineStr">
        <is>
          <t>9-08.PDF保存機能（2-09）</t>
        </is>
      </c>
      <c r="C357" s="104" t="inlineStr">
        <is>
          <t>江副</t>
        </is>
      </c>
      <c r="D357" s="105"/>
      <c r="E357" s="106">
        <v>46392</v>
      </c>
      <c r="F357" s="106">
        <v>46392</v>
      </c>
      <c r="G357" s="36"/>
      <c r="H357" s="36" t="e">
        <f ca="1">IF(OR(ISBLANK(タスク_開始),ISBLANK(タスク_終了)),"",タスク_終了-タスク_開始+1)</f>
        <v>#VALUE!</v>
      </c>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row>
    <row r="358" spans="1:64" s="37" customFormat="1" ht="30" customHeight="1">
      <c r="A358" s="20"/>
      <c r="B358" s="103" t="inlineStr">
        <is>
          <t>9-09.仕様保存・呼出機能（2-08）</t>
        </is>
      </c>
      <c r="C358" s="104" t="inlineStr">
        <is>
          <t>和合</t>
        </is>
      </c>
      <c r="D358" s="105"/>
      <c r="E358" s="106">
        <v>46370</v>
      </c>
      <c r="F358" s="106">
        <v>46370</v>
      </c>
      <c r="G358" s="36"/>
      <c r="H358" s="36" t="e">
        <f ca="1">IF(OR(ISBLANK(タスク_開始),ISBLANK(タスク_終了)),"",タスク_終了-タスク_開始+1)</f>
        <v>#VALUE!</v>
      </c>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row>
    <row r="359" spans="1:64" s="37" customFormat="1" ht="30" customHeight="1">
      <c r="A359" s="20"/>
      <c r="B359" s="103" t="inlineStr">
        <is>
          <t>9-10.管理者ログイン機能（2-10）</t>
        </is>
      </c>
      <c r="C359" s="104" t="inlineStr">
        <is>
          <t>和合</t>
        </is>
      </c>
      <c r="D359" s="105"/>
      <c r="E359" s="106">
        <v>46377</v>
      </c>
      <c r="F359" s="106">
        <v>46377</v>
      </c>
      <c r="G359" s="36"/>
      <c r="H359" s="36" t="e">
        <f ca="1">IF(OR(ISBLANK(タスク_開始),ISBLANK(タスク_終了)),"",タスク_終了-タスク_開始+1)</f>
        <v>#VALUE!</v>
      </c>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row>
    <row r="360" spans="1:64" s="37" customFormat="1" ht="30" customHeight="1">
      <c r="A360" s="20"/>
      <c r="B360" s="103" t="inlineStr">
        <is>
          <t>9-11.ベース車両追加機能（2-02）</t>
        </is>
      </c>
      <c r="C360" s="104" t="inlineStr">
        <is>
          <t>和合</t>
        </is>
      </c>
      <c r="D360" s="105"/>
      <c r="E360" s="106">
        <v>46392</v>
      </c>
      <c r="F360" s="106">
        <v>46392</v>
      </c>
      <c r="G360" s="36"/>
      <c r="H360" s="36" t="e">
        <f ca="1">IF(OR(ISBLANK(タスク_開始),ISBLANK(タスク_終了)),"",タスク_終了-タスク_開始+1)</f>
        <v>#VALUE!</v>
      </c>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row>
    <row r="361" spans="1:64" s="37" customFormat="1" ht="30" customHeight="1">
      <c r="A361" s="20"/>
      <c r="B361" s="103" t="inlineStr">
        <is>
          <t>9-12.結合テスト（画面・API・DB）</t>
        </is>
      </c>
      <c r="C361" s="104" t="inlineStr">
        <is>
          <t>全員</t>
        </is>
      </c>
      <c r="D361" s="105"/>
      <c r="E361" s="106">
        <v>46393</v>
      </c>
      <c r="F361" s="106">
        <v>46395</v>
      </c>
      <c r="G361" s="36"/>
      <c r="H361" s="36" t="e">
        <f ca="1">IF(OR(ISBLANK(タスク_開始),ISBLANK(タスク_終了)),"",タスク_終了-タスク_開始+1)</f>
        <v>#VALUE!</v>
      </c>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row>
    <row r="362" spans="1:64" s="37" customFormat="1" ht="30" customHeight="1">
      <c r="A362" s="20"/>
      <c r="B362" s="103" t="inlineStr">
        <is>
          <t>9-13.総合テスト（利用シナリオ）</t>
        </is>
      </c>
      <c r="C362" s="104" t="inlineStr">
        <is>
          <t>全員</t>
        </is>
      </c>
      <c r="D362" s="105"/>
      <c r="E362" s="106">
        <v>46399</v>
      </c>
      <c r="F362" s="106">
        <v>46400</v>
      </c>
      <c r="G362" s="36"/>
      <c r="H362" s="36" t="e">
        <f ca="1">IF(OR(ISBLANK(タスク_開始),ISBLANK(タスク_終了)),"",タスク_終了-タスク_開始+1)</f>
        <v>#VALUE!</v>
      </c>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row>
    <row r="363" spans="1:64" s="37" customFormat="1" ht="30" customHeight="1">
      <c r="A363" s="20"/>
      <c r="B363" s="103" t="inlineStr">
        <is>
          <t>9-14.評価実験（利用者テスト・アンケート）</t>
        </is>
      </c>
      <c r="C363" s="104" t="inlineStr">
        <is>
          <t>全員</t>
        </is>
      </c>
      <c r="D363" s="105"/>
      <c r="E363" s="106">
        <v>46401</v>
      </c>
      <c r="F363" s="106">
        <v>46402</v>
      </c>
      <c r="G363" s="36"/>
      <c r="H363" s="36" t="e">
        <f ca="1">IF(OR(ISBLANK(タスク_開始),ISBLANK(タスク_終了)),"",タスク_終了-タスク_開始+1)</f>
        <v>#VALUE!</v>
      </c>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row>
    <row r="364" outlineLevel="1" hidden="1" spans="1:64" s="37" customFormat="1" ht="30" customHeight="1">
      <c r="A364" s="20"/>
      <c r="B364" s="103" t="s">
        <v>382</v>
      </c>
      <c r="C364" s="104" t="s">
        <v>44</v>
      </c>
      <c r="D364" s="105" t="s">
        <v>44</v>
      </c>
      <c r="E364" s="106" t="s">
        <v>44</v>
      </c>
      <c r="F364" s="106" t="s">
        <v>44</v>
      </c>
      <c r="G364" s="36"/>
      <c r="H364" s="36" t="e">
        <f ca="1">IF(OR(ISBLANK(タスク_開始),ISBLANK(タスク_終了)),"",タスク_終了-タスク_開始+1)</f>
        <v>#VALUE!</v>
      </c>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row>
    <row r="365" outlineLevel="1" hidden="1" spans="1:64" s="37" customFormat="1" ht="30" customHeight="1">
      <c r="A365" s="20"/>
      <c r="B365" s="103" t="s">
        <v>383</v>
      </c>
      <c r="C365" s="104" t="s">
        <v>44</v>
      </c>
      <c r="D365" s="105" t="s">
        <v>44</v>
      </c>
      <c r="E365" s="106" t="s">
        <v>44</v>
      </c>
      <c r="F365" s="106" t="s">
        <v>44</v>
      </c>
      <c r="G365" s="36"/>
      <c r="H365" s="36" t="e">
        <f ca="1">IF(OR(ISBLANK(タスク_開始),ISBLANK(タスク_終了)),"",タスク_終了-タスク_開始+1)</f>
        <v>#VALUE!</v>
      </c>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row>
    <row r="366" outlineLevel="1" hidden="1" spans="1:64" s="37" customFormat="1" ht="30" customHeight="1">
      <c r="A366" s="20"/>
      <c r="B366" s="103" t="s">
        <v>384</v>
      </c>
      <c r="C366" s="104" t="s">
        <v>44</v>
      </c>
      <c r="D366" s="105" t="s">
        <v>44</v>
      </c>
      <c r="E366" s="106" t="s">
        <v>44</v>
      </c>
      <c r="F366" s="106" t="s">
        <v>44</v>
      </c>
      <c r="G366" s="36"/>
      <c r="H366" s="36" t="e">
        <f ca="1">IF(OR(ISBLANK(タスク_開始),ISBLANK(タスク_終了)),"",タスク_終了-タスク_開始+1)</f>
        <v>#VALUE!</v>
      </c>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row>
    <row r="367" outlineLevel="1" hidden="1" spans="1:64" s="37" customFormat="1" ht="30" customHeight="1">
      <c r="A367" s="20"/>
      <c r="B367" s="103" t="s">
        <v>385</v>
      </c>
      <c r="C367" s="104" t="s">
        <v>44</v>
      </c>
      <c r="D367" s="105" t="s">
        <v>44</v>
      </c>
      <c r="E367" s="106" t="s">
        <v>44</v>
      </c>
      <c r="F367" s="106" t="s">
        <v>44</v>
      </c>
      <c r="G367" s="36"/>
      <c r="H367" s="36" t="e">
        <f ca="1">IF(OR(ISBLANK(タスク_開始),ISBLANK(タスク_終了)),"",タスク_終了-タスク_開始+1)</f>
        <v>#VALUE!</v>
      </c>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row>
    <row r="368" outlineLevel="1" hidden="1" spans="1:64" s="37" customFormat="1" ht="30" customHeight="1">
      <c r="A368" s="20"/>
      <c r="B368" s="103" t="s">
        <v>386</v>
      </c>
      <c r="C368" s="104" t="s">
        <v>44</v>
      </c>
      <c r="D368" s="105" t="s">
        <v>44</v>
      </c>
      <c r="E368" s="106" t="s">
        <v>44</v>
      </c>
      <c r="F368" s="106" t="s">
        <v>44</v>
      </c>
      <c r="G368" s="36"/>
      <c r="H368" s="36" t="e">
        <f ca="1">IF(OR(ISBLANK(タスク_開始),ISBLANK(タスク_終了)),"",タスク_終了-タスク_開始+1)</f>
        <v>#VALUE!</v>
      </c>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row>
    <row r="369" outlineLevel="1" hidden="1" spans="1:64" s="37" customFormat="1" ht="30" customHeight="1">
      <c r="A369" s="20"/>
      <c r="B369" s="103" t="s">
        <v>387</v>
      </c>
      <c r="C369" s="104" t="s">
        <v>44</v>
      </c>
      <c r="D369" s="105" t="s">
        <v>44</v>
      </c>
      <c r="E369" s="106" t="s">
        <v>44</v>
      </c>
      <c r="F369" s="106" t="s">
        <v>44</v>
      </c>
      <c r="G369" s="36"/>
      <c r="H369" s="36" t="e">
        <f ca="1">IF(OR(ISBLANK(タスク_開始),ISBLANK(タスク_終了)),"",タスク_終了-タスク_開始+1)</f>
        <v>#VALUE!</v>
      </c>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row>
    <row r="370" outlineLevel="1" hidden="1" spans="1:64" s="37" customFormat="1" ht="30" customHeight="1">
      <c r="A370" s="20"/>
      <c r="B370" s="103" t="s">
        <v>388</v>
      </c>
      <c r="C370" s="104" t="s">
        <v>44</v>
      </c>
      <c r="D370" s="105" t="s">
        <v>44</v>
      </c>
      <c r="E370" s="106" t="s">
        <v>44</v>
      </c>
      <c r="F370" s="106" t="s">
        <v>44</v>
      </c>
      <c r="G370" s="36"/>
      <c r="H370" s="36" t="e">
        <f ca="1">IF(OR(ISBLANK(タスク_開始),ISBLANK(タスク_終了)),"",タスク_終了-タスク_開始+1)</f>
        <v>#VALUE!</v>
      </c>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row>
    <row r="371" outlineLevel="1" hidden="1" spans="1:64" s="37" customFormat="1" ht="30" customHeight="1">
      <c r="A371" s="20"/>
      <c r="B371" s="103" t="s">
        <v>389</v>
      </c>
      <c r="C371" s="104" t="s">
        <v>44</v>
      </c>
      <c r="D371" s="105" t="s">
        <v>44</v>
      </c>
      <c r="E371" s="106" t="s">
        <v>44</v>
      </c>
      <c r="F371" s="106" t="s">
        <v>44</v>
      </c>
      <c r="G371" s="36"/>
      <c r="H371" s="36" t="e">
        <f ca="1">IF(OR(ISBLANK(タスク_開始),ISBLANK(タスク_終了)),"",タスク_終了-タスク_開始+1)</f>
        <v>#VALUE!</v>
      </c>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row>
    <row r="372" outlineLevel="1" hidden="1" spans="1:64" s="37" customFormat="1" ht="30" customHeight="1">
      <c r="A372" s="20"/>
      <c r="B372" s="103" t="s">
        <v>390</v>
      </c>
      <c r="C372" s="104" t="s">
        <v>44</v>
      </c>
      <c r="D372" s="105" t="s">
        <v>44</v>
      </c>
      <c r="E372" s="106" t="s">
        <v>44</v>
      </c>
      <c r="F372" s="106" t="s">
        <v>44</v>
      </c>
      <c r="G372" s="36"/>
      <c r="H372" s="36" t="e">
        <f ca="1">IF(OR(ISBLANK(タスク_開始),ISBLANK(タスク_終了)),"",タスク_終了-タスク_開始+1)</f>
        <v>#VALUE!</v>
      </c>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row>
    <row r="373" outlineLevel="1" hidden="1" spans="1:64" s="37" customFormat="1" ht="30" customHeight="1">
      <c r="A373" s="20"/>
      <c r="B373" s="103" t="s">
        <v>391</v>
      </c>
      <c r="C373" s="104" t="s">
        <v>44</v>
      </c>
      <c r="D373" s="105" t="s">
        <v>44</v>
      </c>
      <c r="E373" s="106" t="s">
        <v>44</v>
      </c>
      <c r="F373" s="106" t="s">
        <v>44</v>
      </c>
      <c r="G373" s="36"/>
      <c r="H373" s="36" t="e">
        <f ca="1">IF(OR(ISBLANK(タスク_開始),ISBLANK(タスク_終了)),"",タスク_終了-タスク_開始+1)</f>
        <v>#VALUE!</v>
      </c>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row>
    <row r="374" outlineLevel="1" hidden="1" spans="1:64" s="37" customFormat="1" ht="30" customHeight="1">
      <c r="A374" s="20"/>
      <c r="B374" s="103" t="s">
        <v>392</v>
      </c>
      <c r="C374" s="104" t="s">
        <v>44</v>
      </c>
      <c r="D374" s="105" t="s">
        <v>44</v>
      </c>
      <c r="E374" s="106" t="s">
        <v>44</v>
      </c>
      <c r="F374" s="106" t="s">
        <v>44</v>
      </c>
      <c r="G374" s="36"/>
      <c r="H374" s="36" t="e">
        <f ca="1">IF(OR(ISBLANK(タスク_開始),ISBLANK(タスク_終了)),"",タスク_終了-タスク_開始+1)</f>
        <v>#VALUE!</v>
      </c>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row>
    <row r="375" outlineLevel="1" hidden="1" spans="1:64" s="37" customFormat="1" ht="30" customHeight="1">
      <c r="A375" s="20"/>
      <c r="B375" s="103" t="s">
        <v>393</v>
      </c>
      <c r="C375" s="104" t="s">
        <v>44</v>
      </c>
      <c r="D375" s="105" t="s">
        <v>44</v>
      </c>
      <c r="E375" s="106" t="s">
        <v>44</v>
      </c>
      <c r="F375" s="106" t="s">
        <v>44</v>
      </c>
      <c r="G375" s="36"/>
      <c r="H375" s="36" t="e">
        <f ca="1">IF(OR(ISBLANK(タスク_開始),ISBLANK(タスク_終了)),"",タスク_終了-タスク_開始+1)</f>
        <v>#VALUE!</v>
      </c>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row>
    <row r="376" outlineLevel="1" hidden="1" spans="1:64" s="37" customFormat="1" ht="30" customHeight="1">
      <c r="A376" s="20"/>
      <c r="B376" s="103" t="s">
        <v>394</v>
      </c>
      <c r="C376" s="104" t="s">
        <v>44</v>
      </c>
      <c r="D376" s="105" t="s">
        <v>44</v>
      </c>
      <c r="E376" s="106" t="s">
        <v>44</v>
      </c>
      <c r="F376" s="106" t="s">
        <v>44</v>
      </c>
      <c r="G376" s="36"/>
      <c r="H376" s="36" t="e">
        <f ca="1">IF(OR(ISBLANK(タスク_開始),ISBLANK(タスク_終了)),"",タスク_終了-タスク_開始+1)</f>
        <v>#VALUE!</v>
      </c>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row>
    <row r="377" outlineLevel="1" hidden="1" spans="1:64" s="37" customFormat="1" ht="30" customHeight="1">
      <c r="A377" s="20"/>
      <c r="B377" s="103" t="s">
        <v>395</v>
      </c>
      <c r="C377" s="104" t="s">
        <v>44</v>
      </c>
      <c r="D377" s="105" t="s">
        <v>44</v>
      </c>
      <c r="E377" s="106" t="s">
        <v>44</v>
      </c>
      <c r="F377" s="106" t="s">
        <v>44</v>
      </c>
      <c r="G377" s="36"/>
      <c r="H377" s="36" t="e">
        <f ca="1">IF(OR(ISBLANK(タスク_開始),ISBLANK(タスク_終了)),"",タスク_終了-タスク_開始+1)</f>
        <v>#VALUE!</v>
      </c>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row>
    <row r="378" outlineLevel="1" hidden="1" spans="1:64" s="37" customFormat="1" ht="30" customHeight="1">
      <c r="A378" s="20"/>
      <c r="B378" s="103" t="s">
        <v>396</v>
      </c>
      <c r="C378" s="104" t="s">
        <v>44</v>
      </c>
      <c r="D378" s="105" t="s">
        <v>44</v>
      </c>
      <c r="E378" s="106" t="s">
        <v>44</v>
      </c>
      <c r="F378" s="106" t="s">
        <v>44</v>
      </c>
      <c r="G378" s="36"/>
      <c r="H378" s="36" t="e">
        <f ca="1">IF(OR(ISBLANK(タスク_開始),ISBLANK(タスク_終了)),"",タスク_終了-タスク_開始+1)</f>
        <v>#VALUE!</v>
      </c>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row>
    <row r="379" outlineLevel="1" hidden="1" spans="1:64" s="37" customFormat="1" ht="30" customHeight="1">
      <c r="A379" s="20"/>
      <c r="B379" s="103" t="s">
        <v>397</v>
      </c>
      <c r="C379" s="104" t="s">
        <v>44</v>
      </c>
      <c r="D379" s="105" t="s">
        <v>44</v>
      </c>
      <c r="E379" s="106" t="s">
        <v>44</v>
      </c>
      <c r="F379" s="106" t="s">
        <v>44</v>
      </c>
      <c r="G379" s="36"/>
      <c r="H379" s="36" t="e">
        <f ca="1">IF(OR(ISBLANK(タスク_開始),ISBLANK(タスク_終了)),"",タスク_終了-タスク_開始+1)</f>
        <v>#VALUE!</v>
      </c>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row>
    <row r="380" collapsed="1" spans="1:64" s="37" customFormat="1" ht="30" customHeight="1">
      <c r="A380" s="20" t="s">
        <v>74</v>
      </c>
      <c r="B380" s="107" t="s">
        <v>398</v>
      </c>
      <c r="C380" s="108"/>
      <c r="D380" s="109"/>
      <c r="E380" s="110"/>
      <c r="F380" s="111"/>
      <c r="G380" s="36"/>
      <c r="H380" s="36" t="str">
        <f ca="1">IF(OR(ISBLANK(タスク_開始),ISBLANK(タスク_終了)),"",タスク_終了-タスク_開始+1)</f>
        <v/>
      </c>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row>
    <row r="381" spans="1:64" s="37" customFormat="1" ht="30" customHeight="1">
      <c r="A381" s="20"/>
      <c r="B381" s="112" t="s">
        <v>399</v>
      </c>
      <c r="C381" s="113" t="inlineStr">
        <is>
          <t>全員</t>
        </is>
      </c>
      <c r="D381" s="114"/>
      <c r="E381" s="115"/>
      <c r="F381" s="115"/>
      <c r="G381" s="36"/>
      <c r="H381" s="36" t="e">
        <f ca="1">IF(OR(ISBLANK(タスク_開始),ISBLANK(タスク_終了)),"",タスク_終了-タスク_開始+1)</f>
        <v>#VALUE!</v>
      </c>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row>
    <row r="382" spans="1:64" s="37" customFormat="1" ht="30" customHeight="1">
      <c r="A382" s="20"/>
      <c r="B382" s="112" t="s">
        <v>400</v>
      </c>
      <c r="C382" s="113" t="inlineStr">
        <is>
          <t>全員</t>
        </is>
      </c>
      <c r="D382" s="114"/>
      <c r="E382" s="115"/>
      <c r="F382" s="115"/>
      <c r="G382" s="36"/>
      <c r="H382" s="36" t="e">
        <f ca="1">IF(OR(ISBLANK(タスク_開始),ISBLANK(タスク_終了)),"",タスク_終了-タスク_開始+1)</f>
        <v>#VALUE!</v>
      </c>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row>
    <row r="383" spans="1:64" s="37" customFormat="1" ht="30" customHeight="1">
      <c r="A383" s="20"/>
      <c r="B383" s="112" t="s">
        <v>401</v>
      </c>
      <c r="C383" s="113" t="inlineStr">
        <is>
          <t>全員</t>
        </is>
      </c>
      <c r="D383" s="114" t="s">
        <v>44</v>
      </c>
      <c r="E383" s="115">
        <v>46405</v>
      </c>
      <c r="F383" s="115">
        <v>46409</v>
      </c>
      <c r="G383" s="36"/>
      <c r="H383" s="36" t="e">
        <f ca="1">IF(OR(ISBLANK(タスク_開始),ISBLANK(タスク_終了)),"",タスク_終了-タスク_開始+1)</f>
        <v>#VALUE!</v>
      </c>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row>
    <row r="384" spans="1:64" s="37" customFormat="1" ht="30" customHeight="1">
      <c r="A384" s="20"/>
      <c r="B384" s="112" t="s">
        <v>37</v>
      </c>
      <c r="C384" s="113" t="inlineStr">
        <is>
          <t>全員</t>
        </is>
      </c>
      <c r="D384" s="114" t="s">
        <v>44</v>
      </c>
      <c r="E384" s="115">
        <v>46412</v>
      </c>
      <c r="F384" s="115">
        <v>46421</v>
      </c>
      <c r="G384" s="36"/>
      <c r="H384" s="36" t="e">
        <f ca="1">IF(OR(ISBLANK(タスク_開始),ISBLANK(タスク_終了)),"",タスク_終了-タスク_開始+1)</f>
        <v>#VALUE!</v>
      </c>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row>
    <row r="385" spans="1:64" s="37" customFormat="1" ht="30" customHeight="1">
      <c r="A385" s="20"/>
      <c r="B385" s="112" t="s">
        <v>38</v>
      </c>
      <c r="C385" s="113" t="inlineStr">
        <is>
          <t>－</t>
        </is>
      </c>
      <c r="D385" s="114" t="s">
        <v>44</v>
      </c>
      <c r="E385" s="115">
        <v>46427</v>
      </c>
      <c r="F385" s="115">
        <v>46427</v>
      </c>
      <c r="G385" s="36"/>
      <c r="H385" s="36" t="e">
        <f ca="1">IF(OR(ISBLANK(タスク_開始),ISBLANK(タスク_終了)),"",タスク_終了-タスク_開始+1)</f>
        <v>#VALUE!</v>
      </c>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row>
    <row r="386" spans="1:64" s="37" customFormat="1" ht="30" customHeight="1">
      <c r="A386" s="20" t="s">
        <v>402</v>
      </c>
      <c r="B386" s="116"/>
      <c r="C386" s="117"/>
      <c r="D386" s="118"/>
      <c r="E386" s="119"/>
      <c r="F386" s="119"/>
      <c r="G386" s="36"/>
      <c r="H386" s="36" t="str">
        <f t="shared" ca="1" si="5"/>
        <v/>
      </c>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row>
    <row r="387" spans="1:64" s="37" customFormat="1" ht="30" customHeight="1">
      <c r="A387" s="13" t="s">
        <v>403</v>
      </c>
      <c r="B387" s="120" t="s">
        <v>404</v>
      </c>
      <c r="C387" s="121"/>
      <c r="D387" s="122"/>
      <c r="E387" s="123"/>
      <c r="F387" s="124"/>
      <c r="G387" s="125"/>
      <c r="H387" s="125" t="str">
        <f t="shared" ca="1" si="5"/>
        <v/>
      </c>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c r="BE387" s="126"/>
      <c r="BF387" s="126"/>
      <c r="BG387" s="126"/>
      <c r="BH387" s="126"/>
      <c r="BI387" s="126"/>
      <c r="BJ387" s="126"/>
      <c r="BK387" s="126"/>
      <c r="BL387" s="126"/>
    </row>
    <row r="388" spans="1:64" ht="30" customHeight="1">
      <c r="G388" s="127"/>
    </row>
    <row r="389" spans="1:64" ht="30" customHeight="1">
      <c r="C389" s="128"/>
      <c r="F389" s="129"/>
    </row>
    <row r="390" spans="1:64" ht="30" customHeight="1">
      <c r="C390" s="130"/>
    </row>
  </sheetData>
  <mergeCells count="11">
    <mergeCell ref="C3:D3"/>
    <mergeCell ref="C4:D4"/>
    <mergeCell ref="AK4:AQ4"/>
    <mergeCell ref="AR4:AX4"/>
    <mergeCell ref="AY4:BE4"/>
    <mergeCell ref="BF4:BL4"/>
    <mergeCell ref="E3:F3"/>
    <mergeCell ref="I4:O4"/>
    <mergeCell ref="P4:V4"/>
    <mergeCell ref="W4:AC4"/>
    <mergeCell ref="AD4:AJ4"/>
  </mergeCells>
  <phoneticPr fontId="19"/>
  <conditionalFormatting sqref="D7:D387">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87">
    <cfRule type="expression" dxfId="5" priority="33">
      <formula>AND(TODAY()&gt;=I$5,TODAY()&lt;J$5)</formula>
    </cfRule>
  </conditionalFormatting>
  <conditionalFormatting sqref="I7:BL387">
    <cfRule type="expression" dxfId="4" priority="27">
      <formula>AND(タスク_開始&lt;=I$5,ROUNDDOWN((タスク_終了-タスク_開始+1)*タスク_進捗状況,0)+タスク_開始-1&gt;=I$5)</formula>
    </cfRule>
    <cfRule type="expression" dxfId="3"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printOptions horizontalCentered="1"/>
  <pageMargins left="0.35" right="0.35" top="0.35" bottom="0.5" header="0.3" footer="0.3"/>
  <pageSetup paperSize="9" scale="49" fitToHeight="0" orientation="landscape" r:id="rId1"/>
  <headerFooter differentFirst="1" scaleWithDoc="0">
    <oddFooter>Page &amp;P of &amp;N</oddFooter>
  </headerFooter>
  <rowBreaks count="1" manualBreakCount="1">
    <brk id="386" max="16383" man="1"/>
  </rowBreaks>
  <colBreaks count="1" manualBreakCount="1">
    <brk id="1" max="1048575" man="1"/>
  </colBreaks>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214C-CCBE-416D-8450-954F9C67942A}">
  <sheetPr>
    <pageSetUpPr fitToPage="1"/>
  </sheetPr>
  <dimension ref="A1:BL390"/>
  <sheetViews>
    <sheetView showGridLines="0" showRuler="0" zoomScale="68" zoomScaleNormal="100" zoomScalePageLayoutView="70" workbookViewId="0">
      <pane xSplit="8" ySplit="7" topLeftCell="I23" activePane="bottomRight" state="frozen"/>
      <selection pane="bottomRight" activeCell="B30" sqref="B30"/>
      <selection pane="bottomLeft" activeCell="A8" sqref="A8"/>
      <selection pane="topRight" activeCell="I1" sqref="I1"/>
    </sheetView>
  </sheetViews>
  <sheetFormatPr defaultRowHeight="30" customHeight="1" outlineLevelRow="1"/>
  <cols>
    <col min="1" max="1" width="2.5546875" style="20" customWidth="1"/>
    <col min="2" max="2" width="37.109375" style="18" customWidth="1"/>
    <col min="3" max="3" width="10.109375" style="18" customWidth="1"/>
    <col min="4" max="4" width="8.44140625" style="18" customWidth="1"/>
    <col min="5" max="5" width="11.6640625" style="21" customWidth="1"/>
    <col min="6" max="6" width="11.6640625" style="18" customWidth="1"/>
    <col min="7" max="7" width="2.5546875" style="18" customWidth="1"/>
    <col min="8" max="8" width="6" style="18" hidden="1" customWidth="1"/>
    <col min="9" max="64" width="2.44140625" style="18" customWidth="1"/>
    <col min="65" max="70" width="8.88671875" style="18" bestFit="1" customWidth="1"/>
    <col min="71" max="16384" width="8.88671875" style="18"/>
  </cols>
  <sheetData>
    <row r="1" spans="1:64" ht="30" customHeight="1">
      <c r="A1" s="13" t="s">
        <v>0</v>
      </c>
      <c r="B1" s="131" t="str">
        <f>'2026'!B1&amp;"("&amp;YEAR(プロジェクトの開始)&amp;")"</f>
        <v>2Dバイクカスタムガレージ(2027)</v>
      </c>
      <c r="C1" s="14"/>
      <c r="D1" s="15"/>
      <c r="E1" s="16"/>
      <c r="F1" s="17"/>
      <c r="G1" s="138" t="s">
        <v>405</v>
      </c>
      <c r="H1" s="15"/>
      <c r="I1" s="19"/>
    </row>
    <row r="2" spans="1:64" ht="30" customHeight="1">
      <c r="A2" s="20" t="s">
        <v>2</v>
      </c>
      <c r="B2" s="132" t="str">
        <f>'2026'!B2</f>
        <v>チーム名を入力</v>
      </c>
      <c r="I2" s="136"/>
    </row>
    <row r="3" spans="1:64" ht="30" customHeight="1">
      <c r="A3" s="20" t="s">
        <v>4</v>
      </c>
      <c r="B3" s="23"/>
      <c r="C3" s="142" t="s">
        <v>5</v>
      </c>
      <c r="D3" s="143"/>
      <c r="E3" s="144">
        <v>46391</v>
      </c>
      <c r="F3" s="144"/>
    </row>
    <row r="4" spans="1:64" ht="30" customHeight="1">
      <c r="A4" s="13" t="s">
        <v>6</v>
      </c>
      <c r="C4" s="142" t="s">
        <v>7</v>
      </c>
      <c r="D4" s="143"/>
      <c r="E4" s="24">
        <v>1</v>
      </c>
      <c r="I4" s="139">
        <f>I5</f>
        <v>46391</v>
      </c>
      <c r="J4" s="140"/>
      <c r="K4" s="140"/>
      <c r="L4" s="140"/>
      <c r="M4" s="140"/>
      <c r="N4" s="140"/>
      <c r="O4" s="141"/>
      <c r="P4" s="139">
        <f>P5</f>
        <v>46398</v>
      </c>
      <c r="Q4" s="140"/>
      <c r="R4" s="140"/>
      <c r="S4" s="140"/>
      <c r="T4" s="140"/>
      <c r="U4" s="140"/>
      <c r="V4" s="141"/>
      <c r="W4" s="139">
        <f>W5</f>
        <v>46405</v>
      </c>
      <c r="X4" s="140"/>
      <c r="Y4" s="140"/>
      <c r="Z4" s="140"/>
      <c r="AA4" s="140"/>
      <c r="AB4" s="140"/>
      <c r="AC4" s="141"/>
      <c r="AD4" s="139">
        <f>AD5</f>
        <v>46412</v>
      </c>
      <c r="AE4" s="140"/>
      <c r="AF4" s="140"/>
      <c r="AG4" s="140"/>
      <c r="AH4" s="140"/>
      <c r="AI4" s="140"/>
      <c r="AJ4" s="141"/>
      <c r="AK4" s="139">
        <f>AK5</f>
        <v>46419</v>
      </c>
      <c r="AL4" s="140"/>
      <c r="AM4" s="140"/>
      <c r="AN4" s="140"/>
      <c r="AO4" s="140"/>
      <c r="AP4" s="140"/>
      <c r="AQ4" s="141"/>
      <c r="AR4" s="139">
        <f>AR5</f>
        <v>46426</v>
      </c>
      <c r="AS4" s="140"/>
      <c r="AT4" s="140"/>
      <c r="AU4" s="140"/>
      <c r="AV4" s="140"/>
      <c r="AW4" s="140"/>
      <c r="AX4" s="141"/>
      <c r="AY4" s="139">
        <f>AY5</f>
        <v>46433</v>
      </c>
      <c r="AZ4" s="140"/>
      <c r="BA4" s="140"/>
      <c r="BB4" s="140"/>
      <c r="BC4" s="140"/>
      <c r="BD4" s="140"/>
      <c r="BE4" s="141"/>
      <c r="BF4" s="139">
        <f>BF5</f>
        <v>46440</v>
      </c>
      <c r="BG4" s="140"/>
      <c r="BH4" s="140"/>
      <c r="BI4" s="140"/>
      <c r="BJ4" s="140"/>
      <c r="BK4" s="140"/>
      <c r="BL4" s="141"/>
    </row>
    <row r="5" spans="1:64" ht="15" customHeight="1">
      <c r="A5" s="13" t="s">
        <v>8</v>
      </c>
      <c r="B5" s="25"/>
      <c r="C5" s="25"/>
      <c r="D5" s="25"/>
      <c r="E5" s="25"/>
      <c r="F5" s="25"/>
      <c r="G5" s="25"/>
      <c r="I5" s="26">
        <f>プロジェクトの開始-WEEKDAY(プロジェクトの開始,1)+2+7*(週表示-1)</f>
        <v>46391</v>
      </c>
      <c r="J5" s="27">
        <f>I5+1</f>
        <v>46392</v>
      </c>
      <c r="K5" s="27">
        <f>J5+1</f>
        <v>46393</v>
      </c>
      <c r="L5" s="27">
        <f>K5+1</f>
        <v>46394</v>
      </c>
      <c r="M5" s="27">
        <f>L5+1</f>
        <v>46395</v>
      </c>
      <c r="N5" s="27">
        <f>M5+1</f>
        <v>46396</v>
      </c>
      <c r="O5" s="28">
        <f>N5+1</f>
        <v>46397</v>
      </c>
      <c r="P5" s="26">
        <f>O5+1</f>
        <v>46398</v>
      </c>
      <c r="Q5" s="27">
        <f>P5+1</f>
        <v>46399</v>
      </c>
      <c r="R5" s="27">
        <f>Q5+1</f>
        <v>46400</v>
      </c>
      <c r="S5" s="27">
        <f>R5+1</f>
        <v>46401</v>
      </c>
      <c r="T5" s="27">
        <f>S5+1</f>
        <v>46402</v>
      </c>
      <c r="U5" s="27">
        <f>T5+1</f>
        <v>46403</v>
      </c>
      <c r="V5" s="28">
        <f>U5+1</f>
        <v>46404</v>
      </c>
      <c r="W5" s="26">
        <f>V5+1</f>
        <v>46405</v>
      </c>
      <c r="X5" s="27">
        <f>W5+1</f>
        <v>46406</v>
      </c>
      <c r="Y5" s="27">
        <f>X5+1</f>
        <v>46407</v>
      </c>
      <c r="Z5" s="27">
        <f>Y5+1</f>
        <v>46408</v>
      </c>
      <c r="AA5" s="27">
        <f>Z5+1</f>
        <v>46409</v>
      </c>
      <c r="AB5" s="27">
        <f>AA5+1</f>
        <v>46410</v>
      </c>
      <c r="AC5" s="28">
        <f>AB5+1</f>
        <v>46411</v>
      </c>
      <c r="AD5" s="26">
        <f>AC5+1</f>
        <v>46412</v>
      </c>
      <c r="AE5" s="27">
        <f>AD5+1</f>
        <v>46413</v>
      </c>
      <c r="AF5" s="27">
        <f>AE5+1</f>
        <v>46414</v>
      </c>
      <c r="AG5" s="27">
        <f>AF5+1</f>
        <v>46415</v>
      </c>
      <c r="AH5" s="27">
        <f>AG5+1</f>
        <v>46416</v>
      </c>
      <c r="AI5" s="27">
        <f>AH5+1</f>
        <v>46417</v>
      </c>
      <c r="AJ5" s="28">
        <f>AI5+1</f>
        <v>46418</v>
      </c>
      <c r="AK5" s="26">
        <f>AJ5+1</f>
        <v>46419</v>
      </c>
      <c r="AL5" s="27">
        <f>AK5+1</f>
        <v>46420</v>
      </c>
      <c r="AM5" s="27">
        <f>AL5+1</f>
        <v>46421</v>
      </c>
      <c r="AN5" s="27">
        <f>AM5+1</f>
        <v>46422</v>
      </c>
      <c r="AO5" s="27">
        <f>AN5+1</f>
        <v>46423</v>
      </c>
      <c r="AP5" s="27">
        <f>AO5+1</f>
        <v>46424</v>
      </c>
      <c r="AQ5" s="28">
        <f>AP5+1</f>
        <v>46425</v>
      </c>
      <c r="AR5" s="26">
        <f>AQ5+1</f>
        <v>46426</v>
      </c>
      <c r="AS5" s="27">
        <f>AR5+1</f>
        <v>46427</v>
      </c>
      <c r="AT5" s="27">
        <f>AS5+1</f>
        <v>46428</v>
      </c>
      <c r="AU5" s="27">
        <f>AT5+1</f>
        <v>46429</v>
      </c>
      <c r="AV5" s="27">
        <f>AU5+1</f>
        <v>46430</v>
      </c>
      <c r="AW5" s="27">
        <f>AV5+1</f>
        <v>46431</v>
      </c>
      <c r="AX5" s="28">
        <f>AW5+1</f>
        <v>46432</v>
      </c>
      <c r="AY5" s="26">
        <f>AX5+1</f>
        <v>46433</v>
      </c>
      <c r="AZ5" s="27">
        <f>AY5+1</f>
        <v>46434</v>
      </c>
      <c r="BA5" s="27">
        <f>AZ5+1</f>
        <v>46435</v>
      </c>
      <c r="BB5" s="27">
        <f>BA5+1</f>
        <v>46436</v>
      </c>
      <c r="BC5" s="27">
        <f>BB5+1</f>
        <v>46437</v>
      </c>
      <c r="BD5" s="27">
        <f>BC5+1</f>
        <v>46438</v>
      </c>
      <c r="BE5" s="28">
        <f>BD5+1</f>
        <v>46439</v>
      </c>
      <c r="BF5" s="26">
        <f>BE5+1</f>
        <v>46440</v>
      </c>
      <c r="BG5" s="27">
        <f>BF5+1</f>
        <v>46441</v>
      </c>
      <c r="BH5" s="27">
        <f>BG5+1</f>
        <v>46442</v>
      </c>
      <c r="BI5" s="27">
        <f>BH5+1</f>
        <v>46443</v>
      </c>
      <c r="BJ5" s="27">
        <f>BI5+1</f>
        <v>46444</v>
      </c>
      <c r="BK5" s="27">
        <f>BJ5+1</f>
        <v>46445</v>
      </c>
      <c r="BL5" s="28">
        <f>BK5+1</f>
        <v>46446</v>
      </c>
    </row>
    <row r="6" spans="1:64" ht="30" customHeight="1">
      <c r="A6" s="13" t="s">
        <v>9</v>
      </c>
      <c r="B6" s="133" t="s">
        <v>10</v>
      </c>
      <c r="C6" s="134" t="s">
        <v>11</v>
      </c>
      <c r="D6" s="134" t="s">
        <v>12</v>
      </c>
      <c r="E6" s="134" t="s">
        <v>13</v>
      </c>
      <c r="F6" s="134" t="s">
        <v>14</v>
      </c>
      <c r="G6" s="134"/>
      <c r="H6" s="134" t="s">
        <v>15</v>
      </c>
      <c r="I6" s="135" t="str">
        <f>LEFT(TEXT(I5,"aaa"),1)</f>
        <v>月</v>
      </c>
      <c r="J6" s="135" t="str">
        <f>LEFT(TEXT(J5,"aaa"),1)</f>
        <v>火</v>
      </c>
      <c r="K6" s="135" t="str">
        <f>LEFT(TEXT(K5,"aaa"),1)</f>
        <v>水</v>
      </c>
      <c r="L6" s="135" t="str">
        <f>LEFT(TEXT(L5,"aaa"),1)</f>
        <v>木</v>
      </c>
      <c r="M6" s="135" t="str">
        <f>LEFT(TEXT(M5,"aaa"),1)</f>
        <v>金</v>
      </c>
      <c r="N6" s="135" t="str">
        <f>LEFT(TEXT(N5,"aaa"),1)</f>
        <v>土</v>
      </c>
      <c r="O6" s="135" t="str">
        <f>LEFT(TEXT(O5,"aaa"),1)</f>
        <v>日</v>
      </c>
      <c r="P6" s="135" t="str">
        <f>LEFT(TEXT(P5,"aaa"),1)</f>
        <v>月</v>
      </c>
      <c r="Q6" s="135" t="str">
        <f>LEFT(TEXT(Q5,"aaa"),1)</f>
        <v>火</v>
      </c>
      <c r="R6" s="135" t="str">
        <f>LEFT(TEXT(R5,"aaa"),1)</f>
        <v>水</v>
      </c>
      <c r="S6" s="135" t="str">
        <f>LEFT(TEXT(S5,"aaa"),1)</f>
        <v>木</v>
      </c>
      <c r="T6" s="135" t="str">
        <f>LEFT(TEXT(T5,"aaa"),1)</f>
        <v>金</v>
      </c>
      <c r="U6" s="135" t="str">
        <f>LEFT(TEXT(U5,"aaa"),1)</f>
        <v>土</v>
      </c>
      <c r="V6" s="135" t="str">
        <f>LEFT(TEXT(V5,"aaa"),1)</f>
        <v>日</v>
      </c>
      <c r="W6" s="135" t="str">
        <f>LEFT(TEXT(W5,"aaa"),1)</f>
        <v>月</v>
      </c>
      <c r="X6" s="135" t="str">
        <f>LEFT(TEXT(X5,"aaa"),1)</f>
        <v>火</v>
      </c>
      <c r="Y6" s="135" t="str">
        <f>LEFT(TEXT(Y5,"aaa"),1)</f>
        <v>水</v>
      </c>
      <c r="Z6" s="135" t="str">
        <f>LEFT(TEXT(Z5,"aaa"),1)</f>
        <v>木</v>
      </c>
      <c r="AA6" s="135" t="str">
        <f>LEFT(TEXT(AA5,"aaa"),1)</f>
        <v>金</v>
      </c>
      <c r="AB6" s="135" t="str">
        <f>LEFT(TEXT(AB5,"aaa"),1)</f>
        <v>土</v>
      </c>
      <c r="AC6" s="135" t="str">
        <f>LEFT(TEXT(AC5,"aaa"),1)</f>
        <v>日</v>
      </c>
      <c r="AD6" s="135" t="str">
        <f>LEFT(TEXT(AD5,"aaa"),1)</f>
        <v>月</v>
      </c>
      <c r="AE6" s="135" t="str">
        <f>LEFT(TEXT(AE5,"aaa"),1)</f>
        <v>火</v>
      </c>
      <c r="AF6" s="135" t="str">
        <f>LEFT(TEXT(AF5,"aaa"),1)</f>
        <v>水</v>
      </c>
      <c r="AG6" s="135" t="str">
        <f>LEFT(TEXT(AG5,"aaa"),1)</f>
        <v>木</v>
      </c>
      <c r="AH6" s="135" t="str">
        <f>LEFT(TEXT(AH5,"aaa"),1)</f>
        <v>金</v>
      </c>
      <c r="AI6" s="135" t="str">
        <f>LEFT(TEXT(AI5,"aaa"),1)</f>
        <v>土</v>
      </c>
      <c r="AJ6" s="135" t="str">
        <f>LEFT(TEXT(AJ5,"aaa"),1)</f>
        <v>日</v>
      </c>
      <c r="AK6" s="135" t="str">
        <f>LEFT(TEXT(AK5,"aaa"),1)</f>
        <v>月</v>
      </c>
      <c r="AL6" s="135" t="str">
        <f>LEFT(TEXT(AL5,"aaa"),1)</f>
        <v>火</v>
      </c>
      <c r="AM6" s="135" t="str">
        <f>LEFT(TEXT(AM5,"aaa"),1)</f>
        <v>水</v>
      </c>
      <c r="AN6" s="135" t="str">
        <f>LEFT(TEXT(AN5,"aaa"),1)</f>
        <v>木</v>
      </c>
      <c r="AO6" s="135" t="str">
        <f>LEFT(TEXT(AO5,"aaa"),1)</f>
        <v>金</v>
      </c>
      <c r="AP6" s="135" t="str">
        <f>LEFT(TEXT(AP5,"aaa"),1)</f>
        <v>土</v>
      </c>
      <c r="AQ6" s="135" t="str">
        <f>LEFT(TEXT(AQ5,"aaa"),1)</f>
        <v>日</v>
      </c>
      <c r="AR6" s="135" t="str">
        <f>LEFT(TEXT(AR5,"aaa"),1)</f>
        <v>月</v>
      </c>
      <c r="AS6" s="135" t="str">
        <f>LEFT(TEXT(AS5,"aaa"),1)</f>
        <v>火</v>
      </c>
      <c r="AT6" s="135" t="str">
        <f>LEFT(TEXT(AT5,"aaa"),1)</f>
        <v>水</v>
      </c>
      <c r="AU6" s="135" t="str">
        <f>LEFT(TEXT(AU5,"aaa"),1)</f>
        <v>木</v>
      </c>
      <c r="AV6" s="135" t="str">
        <f>LEFT(TEXT(AV5,"aaa"),1)</f>
        <v>金</v>
      </c>
      <c r="AW6" s="135" t="str">
        <f>LEFT(TEXT(AW5,"aaa"),1)</f>
        <v>土</v>
      </c>
      <c r="AX6" s="135" t="str">
        <f>LEFT(TEXT(AX5,"aaa"),1)</f>
        <v>日</v>
      </c>
      <c r="AY6" s="135" t="str">
        <f>LEFT(TEXT(AY5,"aaa"),1)</f>
        <v>月</v>
      </c>
      <c r="AZ6" s="135" t="str">
        <f>LEFT(TEXT(AZ5,"aaa"),1)</f>
        <v>火</v>
      </c>
      <c r="BA6" s="135" t="str">
        <f>LEFT(TEXT(BA5,"aaa"),1)</f>
        <v>水</v>
      </c>
      <c r="BB6" s="135" t="str">
        <f>LEFT(TEXT(BB5,"aaa"),1)</f>
        <v>木</v>
      </c>
      <c r="BC6" s="135" t="str">
        <f>LEFT(TEXT(BC5,"aaa"),1)</f>
        <v>金</v>
      </c>
      <c r="BD6" s="135" t="str">
        <f>LEFT(TEXT(BD5,"aaa"),1)</f>
        <v>土</v>
      </c>
      <c r="BE6" s="135" t="str">
        <f>LEFT(TEXT(BE5,"aaa"),1)</f>
        <v>日</v>
      </c>
      <c r="BF6" s="135" t="str">
        <f>LEFT(TEXT(BF5,"aaa"),1)</f>
        <v>月</v>
      </c>
      <c r="BG6" s="135" t="str">
        <f>LEFT(TEXT(BG5,"aaa"),1)</f>
        <v>火</v>
      </c>
      <c r="BH6" s="135" t="str">
        <f>LEFT(TEXT(BH5,"aaa"),1)</f>
        <v>水</v>
      </c>
      <c r="BI6" s="135" t="str">
        <f>LEFT(TEXT(BI5,"aaa"),1)</f>
        <v>木</v>
      </c>
      <c r="BJ6" s="135" t="str">
        <f>LEFT(TEXT(BJ5,"aaa"),1)</f>
        <v>金</v>
      </c>
      <c r="BK6" s="135" t="str">
        <f>LEFT(TEXT(BK5,"aaa"),1)</f>
        <v>土</v>
      </c>
      <c r="BL6" s="135" t="str">
        <f>LEFT(TEXT(BL5,"aaa"),1)</f>
        <v>日</v>
      </c>
    </row>
    <row r="7" spans="1:64" ht="30" hidden="1" customHeight="1" thickBot="1">
      <c r="A7" s="20" t="s">
        <v>16</v>
      </c>
      <c r="C7" s="29"/>
      <c r="E7" s="18"/>
      <c r="H7" s="18" t="str">
        <f ca="1">IF(OR(ISBLANK(タスク_開始),ISBLANK(タスク_終了)),"",タスク_終了-タスク_開始+1)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37" customFormat="1" ht="30" customHeight="1">
      <c r="A8" s="13" t="s">
        <v>17</v>
      </c>
      <c r="B8" s="31" t="s">
        <v>18</v>
      </c>
      <c r="C8" s="32"/>
      <c r="D8" s="33"/>
      <c r="E8" s="34"/>
      <c r="F8" s="35"/>
      <c r="G8" s="36"/>
      <c r="H8" s="36" t="str">
        <f ca="1">IF(OR(ISBLANK(タスク_開始),ISBLANK(タスク_終了)),"",タスク_終了-タスク_開始+1)</f>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spans="1:64" s="37" customFormat="1" ht="30" customHeight="1">
      <c r="A9" s="13" t="s">
        <v>19</v>
      </c>
      <c r="B9" s="38" t="s">
        <v>20</v>
      </c>
      <c r="C9" s="39" t="str">
        <f>'2026'!C9</f>
        <v xml:space="preserve"> </v>
      </c>
      <c r="D9" s="40">
        <f>'2026'!D9</f>
        <v>0.8</v>
      </c>
      <c r="E9" s="41">
        <f>'2026'!E9</f>
        <v>46316</v>
      </c>
      <c r="F9" s="41">
        <f>'2026'!F9</f>
        <v>46326</v>
      </c>
      <c r="G9" s="36"/>
      <c r="H9" s="36">
        <f ca="1">IF(OR(ISBLANK(タスク_開始),ISBLANK(タスク_終了)),"",タスク_終了-タスク_開始+1)</f>
        <v>11</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s="37" customFormat="1" ht="30" customHeight="1">
      <c r="A10" s="13" t="s">
        <v>22</v>
      </c>
      <c r="B10" s="38" t="s">
        <v>23</v>
      </c>
      <c r="C10" s="39" t="str">
        <f>'2026'!C10</f>
        <v xml:space="preserve"> </v>
      </c>
      <c r="D10" s="40">
        <f>'2026'!D10</f>
        <v>0.8</v>
      </c>
      <c r="E10" s="41">
        <f>'2026'!E10</f>
        <v>46316</v>
      </c>
      <c r="F10" s="41">
        <f>'2026'!F10</f>
        <v>46326</v>
      </c>
      <c r="G10" s="36"/>
      <c r="H10" s="36">
        <f ca="1">IF(OR(ISBLANK(タスク_開始),ISBLANK(タスク_終了)),"",タスク_終了-タスク_開始+1)</f>
        <v>11</v>
      </c>
      <c r="I10" s="30"/>
      <c r="J10" s="30"/>
      <c r="K10" s="30"/>
      <c r="L10" s="30"/>
      <c r="M10" s="30"/>
      <c r="N10" s="30"/>
      <c r="O10" s="30"/>
      <c r="P10" s="30"/>
      <c r="Q10" s="30"/>
      <c r="R10" s="30"/>
      <c r="S10" s="30"/>
      <c r="T10" s="30"/>
      <c r="U10" s="42"/>
      <c r="V10" s="42"/>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s="37" customFormat="1" ht="30" customHeight="1">
      <c r="A11" s="20"/>
      <c r="B11" s="38" t="s">
        <v>24</v>
      </c>
      <c r="C11" s="39" t="str">
        <f>'2026'!C11</f>
        <v xml:space="preserve"> </v>
      </c>
      <c r="D11" s="40">
        <f>'2026'!D11</f>
        <v>0.6</v>
      </c>
      <c r="E11" s="41">
        <f>'2026'!E11</f>
        <v>46316</v>
      </c>
      <c r="F11" s="41">
        <f>'2026'!F11</f>
        <v>46326</v>
      </c>
      <c r="G11" s="36"/>
      <c r="H11" s="36">
        <f ca="1">IF(OR(ISBLANK(タスク_開始),ISBLANK(タスク_終了)),"",タスク_終了-タスク_開始+1)</f>
        <v>11</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s="37" customFormat="1" ht="30" customHeight="1">
      <c r="A12" s="20"/>
      <c r="B12" s="38" t="s">
        <v>25</v>
      </c>
      <c r="C12" s="39" t="str">
        <f>'2026'!C12</f>
        <v xml:space="preserve"> </v>
      </c>
      <c r="D12" s="40">
        <f>'2026'!D12</f>
        <v>0.6</v>
      </c>
      <c r="E12" s="41">
        <f>'2026'!E12</f>
        <v>46316</v>
      </c>
      <c r="F12" s="41">
        <f>'2026'!F12</f>
        <v>46326</v>
      </c>
      <c r="G12" s="36"/>
      <c r="H12" s="36">
        <f ca="1">IF(OR(ISBLANK(タスク_開始),ISBLANK(タスク_終了)),"",タスク_終了-タスク_開始+1)</f>
        <v>11</v>
      </c>
      <c r="I12" s="30"/>
      <c r="J12" s="30"/>
      <c r="K12" s="30"/>
      <c r="L12" s="30"/>
      <c r="M12" s="30"/>
      <c r="N12" s="30"/>
      <c r="O12" s="30"/>
      <c r="P12" s="30"/>
      <c r="Q12" s="30"/>
      <c r="R12" s="30"/>
      <c r="S12" s="30"/>
      <c r="T12" s="30"/>
      <c r="U12" s="30"/>
      <c r="V12" s="30"/>
      <c r="W12" s="30"/>
      <c r="X12" s="30"/>
      <c r="Y12" s="42"/>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s="37" customFormat="1" ht="30" customHeight="1">
      <c r="A13" s="20"/>
      <c r="B13" s="38" t="s">
        <v>26</v>
      </c>
      <c r="C13" s="39" t="str">
        <f>'2026'!C13</f>
        <v>全員</v>
      </c>
      <c r="D13" s="40">
        <f>'2026'!D13</f>
        <v>0</v>
      </c>
      <c r="E13" s="41">
        <f>'2026'!E13</f>
        <v>46316</v>
      </c>
      <c r="F13" s="41">
        <f>'2026'!F13</f>
        <v>46339</v>
      </c>
      <c r="G13" s="36"/>
      <c r="H13" s="36">
        <f ca="1">IF(OR(ISBLANK(タスク_開始),ISBLANK(タスク_終了)),"",タスク_終了-タスク_開始+1)</f>
        <v>24</v>
      </c>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s="37" customFormat="1" ht="30" customHeight="1">
      <c r="A14" s="20"/>
      <c r="B14" s="38" t="s">
        <v>28</v>
      </c>
      <c r="C14" s="39" t="str">
        <f>'2026'!C14</f>
        <v>全員</v>
      </c>
      <c r="D14" s="40">
        <f>'2026'!D14</f>
        <v>0</v>
      </c>
      <c r="E14" s="41">
        <f>'2026'!E14</f>
        <v>46316</v>
      </c>
      <c r="F14" s="41">
        <f>'2026'!F14</f>
        <v>46339</v>
      </c>
      <c r="G14" s="36"/>
      <c r="H14" s="36">
        <f ca="1">IF(OR(ISBLANK(タスク_開始),ISBLANK(タスク_終了)),"",タスク_終了-タスク_開始+1)</f>
        <v>24</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s="37" customFormat="1" ht="30" customHeight="1">
      <c r="A15" s="20"/>
      <c r="B15" s="38" t="s">
        <v>29</v>
      </c>
      <c r="C15" s="39" t="str">
        <f>'2026'!C15</f>
        <v xml:space="preserve"> </v>
      </c>
      <c r="D15" s="40">
        <f>'2026'!D15</f>
        <v>0</v>
      </c>
      <c r="E15" s="41">
        <f>'2026'!E15</f>
        <v>46316</v>
      </c>
      <c r="F15" s="41">
        <f>'2026'!F15</f>
        <v>46339</v>
      </c>
      <c r="G15" s="36"/>
      <c r="H15" s="36">
        <f ca="1">IF(OR(ISBLANK(タスク_開始),ISBLANK(タスク_終了)),"",タスク_終了-タスク_開始+1)</f>
        <v>24</v>
      </c>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s="37" customFormat="1" ht="30" customHeight="1">
      <c r="A16" s="20"/>
      <c r="B16" s="38" t="s">
        <v>30</v>
      </c>
      <c r="C16" s="39" t="str">
        <f>'2026'!C16</f>
        <v>全員</v>
      </c>
      <c r="D16" s="40">
        <f>'2026'!D16</f>
        <v>0</v>
      </c>
      <c r="E16" s="41">
        <f>'2026'!E16</f>
        <v>46316</v>
      </c>
      <c r="F16" s="41">
        <f>'2026'!F16</f>
        <v>46339</v>
      </c>
      <c r="G16" s="36"/>
      <c r="H16" s="36">
        <f ca="1">IF(OR(ISBLANK(タスク_開始),ISBLANK(タスク_終了)),"",タスク_終了-タスク_開始+1)</f>
        <v>24</v>
      </c>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spans="1:64" s="37" customFormat="1" ht="30" customHeight="1">
      <c r="A17" s="20"/>
      <c r="B17" s="38" t="s">
        <v>31</v>
      </c>
      <c r="C17" s="39" t="str">
        <f>'2026'!C17</f>
        <v>全員</v>
      </c>
      <c r="D17" s="40">
        <f>'2026'!D17</f>
        <v>0</v>
      </c>
      <c r="E17" s="41">
        <f>'2026'!E17</f>
        <v>46316</v>
      </c>
      <c r="F17" s="41">
        <f>'2026'!F17</f>
        <v>46339</v>
      </c>
      <c r="G17" s="36"/>
      <c r="H17" s="36">
        <f ca="1">IF(OR(ISBLANK(タスク_開始),ISBLANK(タスク_終了)),"",タスク_終了-タスク_開始+1)</f>
        <v>24</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s="37" customFormat="1" ht="30" customHeight="1">
      <c r="A18" s="20"/>
      <c r="B18" s="38" t="s">
        <v>32</v>
      </c>
      <c r="C18" s="39" t="str">
        <f>'2026'!C18</f>
        <v>全員</v>
      </c>
      <c r="D18" s="40">
        <f>'2026'!D18</f>
        <v>0</v>
      </c>
      <c r="E18" s="41">
        <f>'2026'!E18</f>
        <v>46316</v>
      </c>
      <c r="F18" s="41">
        <f>'2026'!F18</f>
        <v>46339</v>
      </c>
      <c r="G18" s="36"/>
      <c r="H18" s="36">
        <f ca="1">IF(OR(ISBLANK(タスク_開始),ISBLANK(タスク_終了)),"",タスク_終了-タスク_開始+1)</f>
        <v>24</v>
      </c>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s="37" customFormat="1" ht="30" customHeight="1">
      <c r="A19" s="20"/>
      <c r="B19" s="38" t="s">
        <v>33</v>
      </c>
      <c r="C19" s="39" t="str">
        <f>'2026'!C19</f>
        <v>全員</v>
      </c>
      <c r="D19" s="40">
        <f>'2026'!D19</f>
        <v>0</v>
      </c>
      <c r="E19" s="41">
        <f>'2026'!E19</f>
        <v>46316</v>
      </c>
      <c r="F19" s="41">
        <f>'2026'!F19</f>
        <v>46356</v>
      </c>
      <c r="G19" s="36"/>
      <c r="H19" s="36">
        <f ca="1">IF(OR(ISBLANK(タスク_開始),ISBLANK(タスク_終了)),"",タスク_終了-タスク_開始+1)</f>
        <v>41</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s="37" customFormat="1" ht="30" customHeight="1">
      <c r="A20" s="20"/>
      <c r="B20" s="38" t="s">
        <v>34</v>
      </c>
      <c r="C20" s="39" t="str">
        <f>'2026'!C20</f>
        <v>全員</v>
      </c>
      <c r="D20" s="40">
        <f>'2026'!D20</f>
        <v>0</v>
      </c>
      <c r="E20" s="41">
        <f>'2026'!E20</f>
        <v>46327</v>
      </c>
      <c r="F20" s="41">
        <f>'2026'!F20</f>
        <v>46402</v>
      </c>
      <c r="G20" s="36"/>
      <c r="H20" s="36">
        <f ca="1">IF(OR(ISBLANK(タスク_開始),ISBLANK(タスク_終了)),"",タスク_終了-タスク_開始+1)</f>
        <v>76</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s="37" customFormat="1" ht="30" customHeight="1">
      <c r="A21" s="20"/>
      <c r="B21" s="38" t="s">
        <v>35</v>
      </c>
      <c r="C21" s="39" t="str">
        <f>'2026'!C21</f>
        <v>全員</v>
      </c>
      <c r="D21" s="40">
        <f>'2026'!D21</f>
        <v>0</v>
      </c>
      <c r="E21" s="41">
        <f>'2026'!E21</f>
        <v>46327</v>
      </c>
      <c r="F21" s="41">
        <f>'2026'!F21</f>
        <v>46402</v>
      </c>
      <c r="G21" s="36"/>
      <c r="H21" s="36">
        <f ca="1">IF(OR(ISBLANK(タスク_開始),ISBLANK(タスク_終了)),"",タスク_終了-タスク_開始+1)</f>
        <v>76</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s="37" customFormat="1" ht="30" customHeight="1">
      <c r="A22" s="20"/>
      <c r="B22" s="38" t="s">
        <v>36</v>
      </c>
      <c r="C22" s="39" t="str">
        <f>'2026'!C22</f>
        <v>全員</v>
      </c>
      <c r="D22" s="40">
        <f>'2026'!D22</f>
        <v>0</v>
      </c>
      <c r="E22" s="41">
        <f>'2026'!E22</f>
        <v>46405</v>
      </c>
      <c r="F22" s="41">
        <f>'2026'!F22</f>
        <v>46409</v>
      </c>
      <c r="G22" s="36"/>
      <c r="H22" s="36">
        <f ca="1">IF(OR(ISBLANK(タスク_開始),ISBLANK(タスク_終了)),"",タスク_終了-タスク_開始+1)</f>
        <v>5</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spans="1:64" s="37" customFormat="1" ht="30" customHeight="1">
      <c r="A23" s="20"/>
      <c r="B23" s="38" t="s">
        <v>37</v>
      </c>
      <c r="C23" s="39" t="str">
        <f>'2026'!C23</f>
        <v>全員</v>
      </c>
      <c r="D23" s="40">
        <f>'2026'!D23</f>
        <v>0</v>
      </c>
      <c r="E23" s="41">
        <f>'2026'!E23</f>
        <v>46412</v>
      </c>
      <c r="F23" s="41">
        <f>'2026'!F23</f>
        <v>46421</v>
      </c>
      <c r="G23" s="36"/>
      <c r="H23" s="36">
        <f ca="1">IF(OR(ISBLANK(タスク_開始),ISBLANK(タスク_終了)),"",タスク_終了-タスク_開始+1)</f>
        <v>10</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spans="1:64" s="37" customFormat="1" ht="30" customHeight="1">
      <c r="A24" s="20"/>
      <c r="B24" s="38" t="s">
        <v>38</v>
      </c>
      <c r="C24" s="39" t="str">
        <f>'2026'!C24</f>
        <v>－</v>
      </c>
      <c r="D24" s="40">
        <f>'2026'!D24</f>
        <v>0</v>
      </c>
      <c r="E24" s="41">
        <f>'2026'!E24</f>
        <v>46427</v>
      </c>
      <c r="F24" s="41">
        <f>'2026'!F24</f>
        <v>46427</v>
      </c>
      <c r="G24" s="36"/>
      <c r="H24" s="36">
        <f ca="1">IF(OR(ISBLANK(タスク_開始),ISBLANK(タスク_終了)),"",タスク_終了-タスク_開始+1)</f>
        <v>1</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s="37" customFormat="1" ht="30" customHeight="1">
      <c r="A25" s="13" t="s">
        <v>40</v>
      </c>
      <c r="B25" s="44" t="s">
        <v>41</v>
      </c>
      <c r="C25" s="45"/>
      <c r="D25" s="46"/>
      <c r="E25" s="47"/>
      <c r="F25" s="48"/>
      <c r="G25" s="36"/>
      <c r="H25" s="36" t="str">
        <f ca="1">IF(OR(ISBLANK(タスク_開始),ISBLANK(タスク_終了)),"",タスク_終了-タスク_開始+1)</f>
        <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s="37" customFormat="1" ht="30" customHeight="1">
      <c r="A26" s="13"/>
      <c r="B26" s="49" t="str">
        <f>'2026'!B26</f>
        <v>機能一覧の洗い出し</v>
      </c>
      <c r="C26" s="50" t="str">
        <f>'2026'!C26</f>
        <v xml:space="preserve"> </v>
      </c>
      <c r="D26" s="51" t="str">
        <f>'2026'!D26</f>
        <v xml:space="preserve"> </v>
      </c>
      <c r="E26" s="52" t="str">
        <f>'2026'!E26</f>
        <v xml:space="preserve"> </v>
      </c>
      <c r="F26" s="52" t="str">
        <f>'2026'!F26</f>
        <v xml:space="preserve"> </v>
      </c>
      <c r="G26" s="36"/>
      <c r="H26" s="36" t="e">
        <f ca="1">IF(OR(ISBLANK(タスク_開始),ISBLANK(タスク_終了)),"",タスク_終了-タスク_開始+1)</f>
        <v>#VALUE!</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s="37" customFormat="1" ht="30" customHeight="1">
      <c r="A27" s="20"/>
      <c r="B27" s="49" t="str">
        <f>'2026'!B27</f>
        <v>2-01.車両ベース選択機能</v>
      </c>
      <c r="C27" s="50" t="str">
        <f>'2026'!C27</f>
        <v xml:space="preserve"> </v>
      </c>
      <c r="D27" s="51" t="str">
        <f>'2026'!D27</f>
        <v xml:space="preserve"> </v>
      </c>
      <c r="E27" s="52" t="str">
        <f>'2026'!E27</f>
        <v xml:space="preserve"> </v>
      </c>
      <c r="F27" s="52" t="str">
        <f>'2026'!F27</f>
        <v xml:space="preserve"> </v>
      </c>
      <c r="G27" s="36"/>
      <c r="H27" s="36" t="e">
        <f ca="1">IF(OR(ISBLANK(タスク_開始),ISBLANK(タスク_終了)),"",タスク_終了-タスク_開始+1)</f>
        <v>#VALUE!</v>
      </c>
      <c r="I27" s="30"/>
      <c r="J27" s="30"/>
      <c r="K27" s="30"/>
      <c r="L27" s="30"/>
      <c r="M27" s="30"/>
      <c r="N27" s="30"/>
      <c r="O27" s="30"/>
      <c r="P27" s="30"/>
      <c r="Q27" s="30"/>
      <c r="R27" s="30"/>
      <c r="S27" s="30"/>
      <c r="T27" s="30"/>
      <c r="U27" s="42"/>
      <c r="V27" s="42"/>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spans="1:64" s="37" customFormat="1" ht="30" customHeight="1">
      <c r="A28" s="20"/>
      <c r="B28" s="49" t="str">
        <f>'2026'!B28</f>
        <v>2-02.ベース車両追加機能</v>
      </c>
      <c r="C28" s="50" t="str">
        <f>'2026'!C28</f>
        <v xml:space="preserve"> </v>
      </c>
      <c r="D28" s="51" t="str">
        <f>'2026'!D28</f>
        <v xml:space="preserve"> </v>
      </c>
      <c r="E28" s="52" t="str">
        <f>'2026'!E28</f>
        <v xml:space="preserve"> </v>
      </c>
      <c r="F28" s="52" t="str">
        <f>'2026'!F28</f>
        <v xml:space="preserve"> </v>
      </c>
      <c r="G28" s="36"/>
      <c r="H28" s="36" t="e">
        <f ca="1">IF(OR(ISBLANK(タスク_開始),ISBLANK(タスク_終了)),"",タスク_終了-タスク_開始+1)</f>
        <v>#VALUE!</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s="37" customFormat="1" ht="30" customHeight="1">
      <c r="A29" s="20"/>
      <c r="B29" s="49" t="str">
        <f>'2026'!B29</f>
        <v>2-03.パーツ追加機能</v>
      </c>
      <c r="C29" s="50" t="str">
        <f>'2026'!C29</f>
        <v xml:space="preserve"> </v>
      </c>
      <c r="D29" s="51" t="str">
        <f>'2026'!D29</f>
        <v xml:space="preserve"> </v>
      </c>
      <c r="E29" s="52" t="str">
        <f>'2026'!E29</f>
        <v xml:space="preserve"> </v>
      </c>
      <c r="F29" s="52" t="str">
        <f>'2026'!F29</f>
        <v xml:space="preserve"> </v>
      </c>
      <c r="G29" s="36"/>
      <c r="H29" s="36" t="e">
        <f ca="1">IF(OR(ISBLANK(タスク_開始),ISBLANK(タスク_終了)),"",タスク_終了-タスク_開始+1)</f>
        <v>#VALUE!</v>
      </c>
      <c r="I29" s="30"/>
      <c r="J29" s="30"/>
      <c r="K29" s="30"/>
      <c r="L29" s="30"/>
      <c r="M29" s="30"/>
      <c r="N29" s="30"/>
      <c r="O29" s="30"/>
      <c r="P29" s="30"/>
      <c r="Q29" s="30"/>
      <c r="R29" s="30"/>
      <c r="S29" s="30"/>
      <c r="T29" s="30"/>
      <c r="U29" s="42"/>
      <c r="V29" s="42"/>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s="37" customFormat="1" ht="30" customHeight="1">
      <c r="A30" s="20"/>
      <c r="B30" s="49" t="str">
        <f>'2026'!B30</f>
        <v>2-04.組み合わせ制約機能</v>
      </c>
      <c r="C30" s="50" t="str">
        <f>'2026'!C30</f>
        <v xml:space="preserve"> </v>
      </c>
      <c r="D30" s="51" t="str">
        <f>'2026'!D30</f>
        <v xml:space="preserve"> </v>
      </c>
      <c r="E30" s="52" t="str">
        <f>'2026'!E30</f>
        <v xml:space="preserve"> </v>
      </c>
      <c r="F30" s="52" t="str">
        <f>'2026'!F30</f>
        <v xml:space="preserve"> </v>
      </c>
      <c r="G30" s="36"/>
      <c r="H30" s="36" t="e">
        <f ca="1">IF(OR(ISBLANK(タスク_開始),ISBLANK(タスク_終了)),"",タスク_終了-タスク_開始+1)</f>
        <v>#VALUE!</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row>
    <row r="31" spans="1:64" s="37" customFormat="1" ht="30" customHeight="1">
      <c r="A31" s="20"/>
      <c r="B31" s="49" t="str">
        <f>'2026'!B31</f>
        <v>2-05.パーツ・塗装選択機能</v>
      </c>
      <c r="C31" s="50" t="str">
        <f>'2026'!C31</f>
        <v xml:space="preserve"> </v>
      </c>
      <c r="D31" s="51" t="str">
        <f>'2026'!D31</f>
        <v xml:space="preserve"> </v>
      </c>
      <c r="E31" s="52" t="str">
        <f>'2026'!E31</f>
        <v xml:space="preserve"> </v>
      </c>
      <c r="F31" s="52" t="str">
        <f>'2026'!F31</f>
        <v xml:space="preserve"> </v>
      </c>
      <c r="G31" s="36"/>
      <c r="H31" s="36" t="e">
        <f ca="1">IF(OR(ISBLANK(タスク_開始),ISBLANK(タスク_終了)),"",タスク_終了-タスク_開始+1)</f>
        <v>#VALUE!</v>
      </c>
      <c r="I31" s="30"/>
      <c r="J31" s="30"/>
      <c r="K31" s="30"/>
      <c r="L31" s="30"/>
      <c r="M31" s="30"/>
      <c r="N31" s="30"/>
      <c r="O31" s="30"/>
      <c r="P31" s="30"/>
      <c r="Q31" s="30"/>
      <c r="R31" s="30"/>
      <c r="S31" s="30"/>
      <c r="T31" s="30"/>
      <c r="U31" s="30"/>
      <c r="V31" s="30"/>
      <c r="W31" s="30"/>
      <c r="X31" s="30"/>
      <c r="Y31" s="42"/>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s="37" customFormat="1" ht="30" customHeight="1">
      <c r="A32" s="20"/>
      <c r="B32" s="49" t="str">
        <f>'2026'!B32</f>
        <v>2-06.取り消し機能</v>
      </c>
      <c r="C32" s="50" t="str">
        <f>'2026'!C32</f>
        <v xml:space="preserve"> </v>
      </c>
      <c r="D32" s="51" t="str">
        <f>'2026'!D32</f>
        <v xml:space="preserve"> </v>
      </c>
      <c r="E32" s="52" t="str">
        <f>'2026'!E32</f>
        <v xml:space="preserve"> </v>
      </c>
      <c r="F32" s="52" t="str">
        <f>'2026'!F32</f>
        <v xml:space="preserve"> </v>
      </c>
      <c r="G32" s="36"/>
      <c r="H32" s="36" t="e">
        <f ca="1">IF(OR(ISBLANK(タスク_開始),ISBLANK(タスク_終了)),"",タスク_終了-タスク_開始+1)</f>
        <v>#VALUE!</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s="37" customFormat="1" ht="30" customHeight="1">
      <c r="A33" s="20"/>
      <c r="B33" s="49" t="str">
        <f>'2026'!B33</f>
        <v>2-07.ビフォーアフター比較機能</v>
      </c>
      <c r="C33" s="50" t="str">
        <f>'2026'!C33</f>
        <v xml:space="preserve"> </v>
      </c>
      <c r="D33" s="51" t="str">
        <f>'2026'!D33</f>
        <v xml:space="preserve"> </v>
      </c>
      <c r="E33" s="52" t="str">
        <f>'2026'!E33</f>
        <v xml:space="preserve"> </v>
      </c>
      <c r="F33" s="52" t="str">
        <f>'2026'!F33</f>
        <v xml:space="preserve"> </v>
      </c>
      <c r="G33" s="36"/>
      <c r="H33" s="36" t="e">
        <f ca="1">IF(OR(ISBLANK(タスク_開始),ISBLANK(タスク_終了)),"",タスク_終了-タスク_開始+1)</f>
        <v>#VALUE!</v>
      </c>
      <c r="I33" s="30"/>
      <c r="J33" s="30"/>
      <c r="K33" s="30"/>
      <c r="L33" s="30"/>
      <c r="M33" s="30"/>
      <c r="N33" s="30"/>
      <c r="O33" s="30"/>
      <c r="P33" s="30"/>
      <c r="Q33" s="30"/>
      <c r="R33" s="30"/>
      <c r="S33" s="30"/>
      <c r="T33" s="30"/>
      <c r="U33" s="42"/>
      <c r="V33" s="42"/>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row>
    <row r="34" spans="1:64" s="37" customFormat="1" ht="30" customHeight="1">
      <c r="A34" s="20"/>
      <c r="B34" s="49" t="str">
        <f>'2026'!B34</f>
        <v>2-08.仕様保存・呼出機能</v>
      </c>
      <c r="C34" s="50" t="str">
        <f>'2026'!C34</f>
        <v xml:space="preserve"> </v>
      </c>
      <c r="D34" s="51" t="str">
        <f>'2026'!D34</f>
        <v xml:space="preserve"> </v>
      </c>
      <c r="E34" s="52" t="str">
        <f>'2026'!E34</f>
        <v xml:space="preserve"> </v>
      </c>
      <c r="F34" s="52" t="str">
        <f>'2026'!F34</f>
        <v xml:space="preserve"> </v>
      </c>
      <c r="G34" s="36"/>
      <c r="H34" s="36" t="e">
        <f ca="1">IF(OR(ISBLANK(タスク_開始),ISBLANK(タスク_終了)),"",タスク_終了-タスク_開始+1)</f>
        <v>#VALUE!</v>
      </c>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row>
    <row r="35" spans="1:64" s="37" customFormat="1" ht="30" customHeight="1">
      <c r="A35" s="20"/>
      <c r="B35" s="49" t="str">
        <f>'2026'!B35</f>
        <v>2-09.PDF保存機能</v>
      </c>
      <c r="C35" s="50" t="str">
        <f>'2026'!C35</f>
        <v xml:space="preserve"> </v>
      </c>
      <c r="D35" s="51" t="str">
        <f>'2026'!D35</f>
        <v xml:space="preserve"> </v>
      </c>
      <c r="E35" s="52" t="str">
        <f>'2026'!E35</f>
        <v xml:space="preserve"> </v>
      </c>
      <c r="F35" s="52" t="str">
        <f>'2026'!F35</f>
        <v xml:space="preserve"> </v>
      </c>
      <c r="G35" s="36"/>
      <c r="H35" s="36" t="e">
        <f ca="1">IF(OR(ISBLANK(タスク_開始),ISBLANK(タスク_終了)),"",タスク_終了-タスク_開始+1)</f>
        <v>#VALUE!</v>
      </c>
      <c r="I35" s="30"/>
      <c r="J35" s="30"/>
      <c r="K35" s="30"/>
      <c r="L35" s="30"/>
      <c r="M35" s="30"/>
      <c r="N35" s="30"/>
      <c r="O35" s="30"/>
      <c r="P35" s="30"/>
      <c r="Q35" s="30"/>
      <c r="R35" s="30"/>
      <c r="S35" s="30"/>
      <c r="T35" s="30"/>
      <c r="U35" s="30"/>
      <c r="V35" s="30"/>
      <c r="W35" s="30"/>
      <c r="X35" s="30"/>
      <c r="Y35" s="42"/>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row>
    <row r="36" spans="1:64" s="37" customFormat="1" ht="30" customHeight="1">
      <c r="A36" s="20"/>
      <c r="B36" s="49" t="str">
        <f>'2026'!B36</f>
        <v>2-10.共有機能</v>
      </c>
      <c r="C36" s="50" t="str">
        <f>'2026'!C36</f>
        <v xml:space="preserve"> </v>
      </c>
      <c r="D36" s="51" t="str">
        <f>'2026'!D36</f>
        <v xml:space="preserve"> </v>
      </c>
      <c r="E36" s="52" t="str">
        <f>'2026'!E36</f>
        <v xml:space="preserve"> </v>
      </c>
      <c r="F36" s="52" t="str">
        <f>'2026'!F36</f>
        <v xml:space="preserve"> </v>
      </c>
      <c r="G36" s="36"/>
      <c r="H36" s="36" t="e">
        <f ca="1">IF(OR(ISBLANK(タスク_開始),ISBLANK(タスク_終了)),"",タスク_終了-タスク_開始+1)</f>
        <v>#VALUE!</v>
      </c>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row>
    <row r="37" outlineLevel="1" hidden="1" spans="1:64" s="37" customFormat="1" ht="30" customHeight="1">
      <c r="A37" s="20"/>
      <c r="B37" s="49" t="str">
        <f>'2026'!B37</f>
        <v>2-11.○○機能</v>
      </c>
      <c r="C37" s="50" t="str">
        <f>'2026'!C37</f>
        <v xml:space="preserve"> </v>
      </c>
      <c r="D37" s="51" t="str">
        <f>'2026'!D37</f>
        <v xml:space="preserve"> </v>
      </c>
      <c r="E37" s="52" t="str">
        <f>'2026'!E37</f>
        <v xml:space="preserve"> </v>
      </c>
      <c r="F37" s="52" t="str">
        <f>'2026'!F37</f>
        <v xml:space="preserve"> </v>
      </c>
      <c r="G37" s="36"/>
      <c r="H37" s="36" t="e">
        <f ca="1">IF(OR(ISBLANK(タスク_開始),ISBLANK(タスク_終了)),"",タスク_終了-タスク_開始+1)</f>
        <v>#VALUE!</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row>
    <row r="38" outlineLevel="1" hidden="1" spans="1:64" s="37" customFormat="1" ht="30" customHeight="1">
      <c r="A38" s="20"/>
      <c r="B38" s="49" t="str">
        <f>'2026'!B38</f>
        <v>2-12.○○機能</v>
      </c>
      <c r="C38" s="50" t="str">
        <f>'2026'!C38</f>
        <v xml:space="preserve"> </v>
      </c>
      <c r="D38" s="51" t="str">
        <f>'2026'!D38</f>
        <v xml:space="preserve"> </v>
      </c>
      <c r="E38" s="52" t="str">
        <f>'2026'!E38</f>
        <v xml:space="preserve"> </v>
      </c>
      <c r="F38" s="52" t="str">
        <f>'2026'!F38</f>
        <v xml:space="preserve"> </v>
      </c>
      <c r="G38" s="36"/>
      <c r="H38" s="36" t="e">
        <f ca="1">IF(OR(ISBLANK(タスク_開始),ISBLANK(タスク_終了)),"",タスク_終了-タスク_開始+1)</f>
        <v>#VALUE!</v>
      </c>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row>
    <row r="39" outlineLevel="1" hidden="1" spans="1:64" s="37" customFormat="1" ht="30" customHeight="1">
      <c r="A39" s="20"/>
      <c r="B39" s="49" t="str">
        <f>'2026'!B39</f>
        <v>2-13.○○機能</v>
      </c>
      <c r="C39" s="50" t="str">
        <f>'2026'!C39</f>
        <v xml:space="preserve"> </v>
      </c>
      <c r="D39" s="51" t="str">
        <f>'2026'!D39</f>
        <v xml:space="preserve"> </v>
      </c>
      <c r="E39" s="52" t="str">
        <f>'2026'!E39</f>
        <v xml:space="preserve"> </v>
      </c>
      <c r="F39" s="52" t="str">
        <f>'2026'!F39</f>
        <v xml:space="preserve"> </v>
      </c>
      <c r="G39" s="36"/>
      <c r="H39" s="36" t="e">
        <f ca="1">IF(OR(ISBLANK(タスク_開始),ISBLANK(タスク_終了)),"",タスク_終了-タスク_開始+1)</f>
        <v>#VALUE!</v>
      </c>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row>
    <row r="40" outlineLevel="1" hidden="1" spans="1:64" s="37" customFormat="1" ht="30" customHeight="1">
      <c r="A40" s="20"/>
      <c r="B40" s="49" t="str">
        <f>'2026'!B40</f>
        <v>2-14.○○機能</v>
      </c>
      <c r="C40" s="50" t="str">
        <f>'2026'!C40</f>
        <v xml:space="preserve"> </v>
      </c>
      <c r="D40" s="51" t="str">
        <f>'2026'!D40</f>
        <v xml:space="preserve"> </v>
      </c>
      <c r="E40" s="52" t="str">
        <f>'2026'!E40</f>
        <v xml:space="preserve"> </v>
      </c>
      <c r="F40" s="52" t="str">
        <f>'2026'!F40</f>
        <v xml:space="preserve"> </v>
      </c>
      <c r="G40" s="36"/>
      <c r="H40" s="36" t="e">
        <f ca="1">IF(OR(ISBLANK(タスク_開始),ISBLANK(タスク_終了)),"",タスク_終了-タスク_開始+1)</f>
        <v>#VALUE!</v>
      </c>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row>
    <row r="41" outlineLevel="1" hidden="1" spans="1:64" s="37" customFormat="1" ht="30" customHeight="1">
      <c r="A41" s="20"/>
      <c r="B41" s="49" t="str">
        <f>'2026'!B41</f>
        <v>2-15.○○機能</v>
      </c>
      <c r="C41" s="50" t="str">
        <f>'2026'!C41</f>
        <v xml:space="preserve"> </v>
      </c>
      <c r="D41" s="51" t="str">
        <f>'2026'!D41</f>
        <v xml:space="preserve"> </v>
      </c>
      <c r="E41" s="52" t="str">
        <f>'2026'!E41</f>
        <v xml:space="preserve"> </v>
      </c>
      <c r="F41" s="52" t="str">
        <f>'2026'!F41</f>
        <v xml:space="preserve"> </v>
      </c>
      <c r="G41" s="36"/>
      <c r="H41" s="36" t="e">
        <f ca="1">IF(OR(ISBLANK(タスク_開始),ISBLANK(タスク_終了)),"",タスク_終了-タスク_開始+1)</f>
        <v>#VALUE!</v>
      </c>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row>
    <row r="42" outlineLevel="1" hidden="1" spans="1:64" s="37" customFormat="1" ht="30" customHeight="1">
      <c r="A42" s="20"/>
      <c r="B42" s="49" t="str">
        <f>'2026'!B42</f>
        <v>2-16.○○機能</v>
      </c>
      <c r="C42" s="50" t="str">
        <f>'2026'!C42</f>
        <v xml:space="preserve"> </v>
      </c>
      <c r="D42" s="51" t="str">
        <f>'2026'!D42</f>
        <v xml:space="preserve"> </v>
      </c>
      <c r="E42" s="52" t="str">
        <f>'2026'!E42</f>
        <v xml:space="preserve"> </v>
      </c>
      <c r="F42" s="52" t="str">
        <f>'2026'!F42</f>
        <v xml:space="preserve"> </v>
      </c>
      <c r="G42" s="36"/>
      <c r="H42" s="36" t="e">
        <f ca="1">IF(OR(ISBLANK(タスク_開始),ISBLANK(タスク_終了)),"",タスク_終了-タスク_開始+1)</f>
        <v>#VALUE!</v>
      </c>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row>
    <row r="43" outlineLevel="1" hidden="1" spans="1:64" s="37" customFormat="1" ht="30" customHeight="1">
      <c r="A43" s="20"/>
      <c r="B43" s="49" t="str">
        <f>'2026'!B43</f>
        <v>2-17.○○機能</v>
      </c>
      <c r="C43" s="50" t="str">
        <f>'2026'!C43</f>
        <v xml:space="preserve"> </v>
      </c>
      <c r="D43" s="51" t="str">
        <f>'2026'!D43</f>
        <v xml:space="preserve"> </v>
      </c>
      <c r="E43" s="52" t="str">
        <f>'2026'!E43</f>
        <v xml:space="preserve"> </v>
      </c>
      <c r="F43" s="52" t="str">
        <f>'2026'!F43</f>
        <v xml:space="preserve"> </v>
      </c>
      <c r="G43" s="36"/>
      <c r="H43" s="36" t="e">
        <f ca="1">IF(OR(ISBLANK(タスク_開始),ISBLANK(タスク_終了)),"",タスク_終了-タスク_開始+1)</f>
        <v>#VALUE!</v>
      </c>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row>
    <row r="44" outlineLevel="1" hidden="1" spans="1:64" s="37" customFormat="1" ht="30" customHeight="1">
      <c r="A44" s="20"/>
      <c r="B44" s="49" t="str">
        <f>'2026'!B44</f>
        <v>2-18.○○機能</v>
      </c>
      <c r="C44" s="50" t="str">
        <f>'2026'!C44</f>
        <v xml:space="preserve"> </v>
      </c>
      <c r="D44" s="51" t="str">
        <f>'2026'!D44</f>
        <v xml:space="preserve"> </v>
      </c>
      <c r="E44" s="52" t="str">
        <f>'2026'!E44</f>
        <v xml:space="preserve"> </v>
      </c>
      <c r="F44" s="52" t="str">
        <f>'2026'!F44</f>
        <v xml:space="preserve"> </v>
      </c>
      <c r="G44" s="36"/>
      <c r="H44" s="36" t="e">
        <f ca="1">IF(OR(ISBLANK(タスク_開始),ISBLANK(タスク_終了)),"",タスク_終了-タスク_開始+1)</f>
        <v>#VALUE!</v>
      </c>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row>
    <row r="45" outlineLevel="1" hidden="1" spans="1:64" s="37" customFormat="1" ht="30" customHeight="1">
      <c r="A45" s="20"/>
      <c r="B45" s="49" t="str">
        <f>'2026'!B45</f>
        <v>2-19.○○機能</v>
      </c>
      <c r="C45" s="50" t="str">
        <f>'2026'!C45</f>
        <v xml:space="preserve"> </v>
      </c>
      <c r="D45" s="51" t="str">
        <f>'2026'!D45</f>
        <v xml:space="preserve"> </v>
      </c>
      <c r="E45" s="52" t="str">
        <f>'2026'!E45</f>
        <v xml:space="preserve"> </v>
      </c>
      <c r="F45" s="52" t="str">
        <f>'2026'!F45</f>
        <v xml:space="preserve"> </v>
      </c>
      <c r="G45" s="36"/>
      <c r="H45" s="36" t="e">
        <f ca="1">IF(OR(ISBLANK(タスク_開始),ISBLANK(タスク_終了)),"",タスク_終了-タスク_開始+1)</f>
        <v>#VALUE!</v>
      </c>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row>
    <row r="46" outlineLevel="1" hidden="1" spans="1:64" s="37" customFormat="1" ht="30" customHeight="1">
      <c r="A46" s="20"/>
      <c r="B46" s="49" t="str">
        <f>'2026'!B46</f>
        <v>2-20.○○機能</v>
      </c>
      <c r="C46" s="50" t="str">
        <f>'2026'!C46</f>
        <v xml:space="preserve"> </v>
      </c>
      <c r="D46" s="51" t="str">
        <f>'2026'!D46</f>
        <v xml:space="preserve"> </v>
      </c>
      <c r="E46" s="52" t="str">
        <f>'2026'!E46</f>
        <v xml:space="preserve"> </v>
      </c>
      <c r="F46" s="52" t="str">
        <f>'2026'!F46</f>
        <v xml:space="preserve"> </v>
      </c>
      <c r="G46" s="36"/>
      <c r="H46" s="36" t="e">
        <f ca="1">IF(OR(ISBLANK(タスク_開始),ISBLANK(タスク_終了)),"",タスク_終了-タスク_開始+1)</f>
        <v>#VALUE!</v>
      </c>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row>
    <row r="47" outlineLevel="1" hidden="1" spans="1:64" s="37" customFormat="1" ht="30" customHeight="1">
      <c r="A47" s="20"/>
      <c r="B47" s="49" t="str">
        <f>'2026'!B47</f>
        <v>2-21.○○機能</v>
      </c>
      <c r="C47" s="50" t="str">
        <f>'2026'!C47</f>
        <v xml:space="preserve"> </v>
      </c>
      <c r="D47" s="51" t="str">
        <f>'2026'!D47</f>
        <v xml:space="preserve"> </v>
      </c>
      <c r="E47" s="52" t="str">
        <f>'2026'!E47</f>
        <v xml:space="preserve"> </v>
      </c>
      <c r="F47" s="52" t="str">
        <f>'2026'!F47</f>
        <v xml:space="preserve"> </v>
      </c>
      <c r="G47" s="36"/>
      <c r="H47" s="36" t="e">
        <f ca="1">IF(OR(ISBLANK(タスク_開始),ISBLANK(タスク_終了)),"",タスク_終了-タスク_開始+1)</f>
        <v>#VALUE!</v>
      </c>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row>
    <row r="48" outlineLevel="1" hidden="1" spans="1:64" s="37" customFormat="1" ht="30" customHeight="1">
      <c r="A48" s="20"/>
      <c r="B48" s="49" t="str">
        <f>'2026'!B48</f>
        <v>2-22.○○機能</v>
      </c>
      <c r="C48" s="50" t="str">
        <f>'2026'!C48</f>
        <v xml:space="preserve"> </v>
      </c>
      <c r="D48" s="51" t="str">
        <f>'2026'!D48</f>
        <v xml:space="preserve"> </v>
      </c>
      <c r="E48" s="52" t="str">
        <f>'2026'!E48</f>
        <v xml:space="preserve"> </v>
      </c>
      <c r="F48" s="52" t="str">
        <f>'2026'!F48</f>
        <v xml:space="preserve"> </v>
      </c>
      <c r="G48" s="36"/>
      <c r="H48" s="36" t="e">
        <f ca="1">IF(OR(ISBLANK(タスク_開始),ISBLANK(タスク_終了)),"",タスク_終了-タスク_開始+1)</f>
        <v>#VALUE!</v>
      </c>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row>
    <row r="49" outlineLevel="1" hidden="1" spans="1:64" s="37" customFormat="1" ht="30" customHeight="1">
      <c r="A49" s="20"/>
      <c r="B49" s="49" t="str">
        <f>'2026'!B49</f>
        <v>2-23.○○機能</v>
      </c>
      <c r="C49" s="50" t="str">
        <f>'2026'!C49</f>
        <v xml:space="preserve"> </v>
      </c>
      <c r="D49" s="51" t="str">
        <f>'2026'!D49</f>
        <v xml:space="preserve"> </v>
      </c>
      <c r="E49" s="52" t="str">
        <f>'2026'!E49</f>
        <v xml:space="preserve"> </v>
      </c>
      <c r="F49" s="52" t="str">
        <f>'2026'!F49</f>
        <v xml:space="preserve"> </v>
      </c>
      <c r="G49" s="36"/>
      <c r="H49" s="36" t="e">
        <f ca="1">IF(OR(ISBLANK(タスク_開始),ISBLANK(タスク_終了)),"",タスク_終了-タスク_開始+1)</f>
        <v>#VALUE!</v>
      </c>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row>
    <row r="50" outlineLevel="1" hidden="1" spans="1:64" s="37" customFormat="1" ht="30" customHeight="1">
      <c r="A50" s="20"/>
      <c r="B50" s="49" t="str">
        <f>'2026'!B50</f>
        <v>2-24.○○機能</v>
      </c>
      <c r="C50" s="50" t="str">
        <f>'2026'!C50</f>
        <v xml:space="preserve"> </v>
      </c>
      <c r="D50" s="51" t="str">
        <f>'2026'!D50</f>
        <v xml:space="preserve"> </v>
      </c>
      <c r="E50" s="52" t="str">
        <f>'2026'!E50</f>
        <v xml:space="preserve"> </v>
      </c>
      <c r="F50" s="52" t="str">
        <f>'2026'!F50</f>
        <v xml:space="preserve"> </v>
      </c>
      <c r="G50" s="36"/>
      <c r="H50" s="36" t="e">
        <f ca="1">IF(OR(ISBLANK(タスク_開始),ISBLANK(タスク_終了)),"",タスク_終了-タスク_開始+1)</f>
        <v>#VALUE!</v>
      </c>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row>
    <row r="51" outlineLevel="1" hidden="1" spans="1:64" s="37" customFormat="1" ht="30" customHeight="1">
      <c r="A51" s="20"/>
      <c r="B51" s="49" t="str">
        <f>'2026'!B51</f>
        <v>2-25.○○機能</v>
      </c>
      <c r="C51" s="50" t="str">
        <f>'2026'!C51</f>
        <v xml:space="preserve"> </v>
      </c>
      <c r="D51" s="51" t="str">
        <f>'2026'!D51</f>
        <v xml:space="preserve"> </v>
      </c>
      <c r="E51" s="52" t="str">
        <f>'2026'!E51</f>
        <v xml:space="preserve"> </v>
      </c>
      <c r="F51" s="52" t="str">
        <f>'2026'!F51</f>
        <v xml:space="preserve"> </v>
      </c>
      <c r="G51" s="36"/>
      <c r="H51" s="36" t="e">
        <f ca="1">IF(OR(ISBLANK(タスク_開始),ISBLANK(タスク_終了)),"",タスク_終了-タスク_開始+1)</f>
        <v>#VALUE!</v>
      </c>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row>
    <row r="52" outlineLevel="1" hidden="1" spans="1:64" s="37" customFormat="1" ht="30" customHeight="1">
      <c r="A52" s="20"/>
      <c r="B52" s="49" t="str">
        <f>'2026'!B52</f>
        <v>2-26.○○機能</v>
      </c>
      <c r="C52" s="50" t="str">
        <f>'2026'!C52</f>
        <v xml:space="preserve"> </v>
      </c>
      <c r="D52" s="51" t="str">
        <f>'2026'!D52</f>
        <v xml:space="preserve"> </v>
      </c>
      <c r="E52" s="52" t="str">
        <f>'2026'!E52</f>
        <v xml:space="preserve"> </v>
      </c>
      <c r="F52" s="52" t="str">
        <f>'2026'!F52</f>
        <v xml:space="preserve"> </v>
      </c>
      <c r="G52" s="36"/>
      <c r="H52" s="36" t="e">
        <f ca="1">IF(OR(ISBLANK(タスク_開始),ISBLANK(タスク_終了)),"",タスク_終了-タスク_開始+1)</f>
        <v>#VALUE!</v>
      </c>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row>
    <row r="53" outlineLevel="1" hidden="1" spans="1:64" s="37" customFormat="1" ht="30" customHeight="1">
      <c r="A53" s="20"/>
      <c r="B53" s="49" t="str">
        <f>'2026'!B53</f>
        <v>2-27.○○機能</v>
      </c>
      <c r="C53" s="50" t="str">
        <f>'2026'!C53</f>
        <v xml:space="preserve"> </v>
      </c>
      <c r="D53" s="51" t="str">
        <f>'2026'!D53</f>
        <v xml:space="preserve"> </v>
      </c>
      <c r="E53" s="52" t="str">
        <f>'2026'!E53</f>
        <v xml:space="preserve"> </v>
      </c>
      <c r="F53" s="52" t="str">
        <f>'2026'!F53</f>
        <v xml:space="preserve"> </v>
      </c>
      <c r="G53" s="36"/>
      <c r="H53" s="36" t="e">
        <f ca="1">IF(OR(ISBLANK(タスク_開始),ISBLANK(タスク_終了)),"",タスク_終了-タスク_開始+1)</f>
        <v>#VALUE!</v>
      </c>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row>
    <row r="54" outlineLevel="1" hidden="1" spans="1:64" s="37" customFormat="1" ht="30" customHeight="1">
      <c r="A54" s="20"/>
      <c r="B54" s="49" t="str">
        <f>'2026'!B54</f>
        <v>2-28.○○機能</v>
      </c>
      <c r="C54" s="50" t="str">
        <f>'2026'!C54</f>
        <v xml:space="preserve"> </v>
      </c>
      <c r="D54" s="51" t="str">
        <f>'2026'!D54</f>
        <v xml:space="preserve"> </v>
      </c>
      <c r="E54" s="52" t="str">
        <f>'2026'!E54</f>
        <v xml:space="preserve"> </v>
      </c>
      <c r="F54" s="52" t="str">
        <f>'2026'!F54</f>
        <v xml:space="preserve"> </v>
      </c>
      <c r="G54" s="36"/>
      <c r="H54" s="36" t="e">
        <f ca="1">IF(OR(ISBLANK(タスク_開始),ISBLANK(タスク_終了)),"",タスク_終了-タスク_開始+1)</f>
        <v>#VALUE!</v>
      </c>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row>
    <row r="55" outlineLevel="1" hidden="1" spans="1:64" s="37" customFormat="1" ht="30" customHeight="1">
      <c r="A55" s="20"/>
      <c r="B55" s="49" t="str">
        <f>'2026'!B55</f>
        <v>2-29.○○機能</v>
      </c>
      <c r="C55" s="50" t="str">
        <f>'2026'!C55</f>
        <v xml:space="preserve"> </v>
      </c>
      <c r="D55" s="51" t="str">
        <f>'2026'!D55</f>
        <v xml:space="preserve"> </v>
      </c>
      <c r="E55" s="52" t="str">
        <f>'2026'!E55</f>
        <v xml:space="preserve"> </v>
      </c>
      <c r="F55" s="52" t="str">
        <f>'2026'!F55</f>
        <v xml:space="preserve"> </v>
      </c>
      <c r="G55" s="36"/>
      <c r="H55" s="36" t="e">
        <f ca="1">IF(OR(ISBLANK(タスク_開始),ISBLANK(タスク_終了)),"",タスク_終了-タスク_開始+1)</f>
        <v>#VALUE!</v>
      </c>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row>
    <row r="56" outlineLevel="1" hidden="1" spans="1:64" s="37" customFormat="1" ht="30" customHeight="1">
      <c r="A56" s="20"/>
      <c r="B56" s="49" t="str">
        <f>'2026'!B56</f>
        <v>2-30.○○機能</v>
      </c>
      <c r="C56" s="50" t="str">
        <f>'2026'!C56</f>
        <v xml:space="preserve"> </v>
      </c>
      <c r="D56" s="51" t="str">
        <f>'2026'!D56</f>
        <v xml:space="preserve"> </v>
      </c>
      <c r="E56" s="52" t="str">
        <f>'2026'!E56</f>
        <v xml:space="preserve"> </v>
      </c>
      <c r="F56" s="52" t="str">
        <f>'2026'!F56</f>
        <v xml:space="preserve"> </v>
      </c>
      <c r="G56" s="36"/>
      <c r="H56" s="36" t="e">
        <f ca="1">IF(OR(ISBLANK(タスク_開始),ISBLANK(タスク_終了)),"",タスク_終了-タスク_開始+1)</f>
        <v>#VALUE!</v>
      </c>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row>
    <row r="57" collapsed="1" spans="1:64" s="37" customFormat="1" ht="30" customHeight="1">
      <c r="A57" s="20" t="s">
        <v>74</v>
      </c>
      <c r="B57" s="53" t="s">
        <v>75</v>
      </c>
      <c r="C57" s="54"/>
      <c r="D57" s="55"/>
      <c r="E57" s="56"/>
      <c r="F57" s="57"/>
      <c r="G57" s="36"/>
      <c r="H57" s="36" t="str">
        <f ca="1">IF(OR(ISBLANK(タスク_開始),ISBLANK(タスク_終了)),"",タスク_終了-タスク_開始+1)</f>
        <v/>
      </c>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row>
    <row r="58" spans="1:64" s="37" customFormat="1" ht="30" customHeight="1">
      <c r="A58" s="20"/>
      <c r="B58" s="58" t="str">
        <f>'2026'!B58</f>
        <v>画面一覧の洗い出し</v>
      </c>
      <c r="C58" s="59" t="str">
        <f>'2026'!C58</f>
        <v xml:space="preserve"> </v>
      </c>
      <c r="D58" s="60" t="str">
        <f>'2026'!D58</f>
        <v xml:space="preserve"> </v>
      </c>
      <c r="E58" s="61" t="str">
        <f>'2026'!E58</f>
        <v xml:space="preserve"> </v>
      </c>
      <c r="F58" s="61" t="str">
        <f>'2026'!F58</f>
        <v xml:space="preserve"> </v>
      </c>
      <c r="G58" s="36"/>
      <c r="H58" s="36" t="e">
        <f ca="1">IF(OR(ISBLANK(タスク_開始),ISBLANK(タスク_終了)),"",タスク_終了-タスク_開始+1)</f>
        <v>#VALUE!</v>
      </c>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row>
    <row r="59" spans="1:64" s="37" customFormat="1" ht="30" customHeight="1">
      <c r="A59" s="20"/>
      <c r="B59" s="58" t="str">
        <f>'2026'!B59</f>
        <v>画面遷移図</v>
      </c>
      <c r="C59" s="59" t="str">
        <f>'2026'!C59</f>
        <v xml:space="preserve"> </v>
      </c>
      <c r="D59" s="60" t="str">
        <f>'2026'!D59</f>
        <v xml:space="preserve"> </v>
      </c>
      <c r="E59" s="61" t="str">
        <f>'2026'!E59</f>
        <v xml:space="preserve"> </v>
      </c>
      <c r="F59" s="61" t="str">
        <f>'2026'!F59</f>
        <v xml:space="preserve"> </v>
      </c>
      <c r="G59" s="36"/>
      <c r="H59" s="36" t="e">
        <f ca="1">IF(OR(ISBLANK(タスク_開始),ISBLANK(タスク_終了)),"",タスク_終了-タスク_開始+1)</f>
        <v>#VALUE!</v>
      </c>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row>
    <row r="60" spans="1:64" s="37" customFormat="1" ht="30" customHeight="1">
      <c r="A60" s="20"/>
      <c r="B60" s="58" t="str">
        <f>'2026'!B60</f>
        <v>画面項目定義</v>
      </c>
      <c r="C60" s="59" t="str">
        <f>'2026'!C60</f>
        <v xml:space="preserve"> </v>
      </c>
      <c r="D60" s="60" t="str">
        <f>'2026'!D60</f>
        <v xml:space="preserve"> </v>
      </c>
      <c r="E60" s="61" t="str">
        <f>'2026'!E60</f>
        <v xml:space="preserve"> </v>
      </c>
      <c r="F60" s="61" t="str">
        <f>'2026'!F60</f>
        <v xml:space="preserve"> </v>
      </c>
      <c r="G60" s="36"/>
      <c r="H60" s="36" t="e">
        <f ca="1">IF(OR(ISBLANK(タスク_開始),ISBLANK(タスク_終了)),"",タスク_終了-タスク_開始+1)</f>
        <v>#VALUE!</v>
      </c>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row>
    <row r="61" spans="1:64" s="37" customFormat="1" ht="30" customHeight="1">
      <c r="A61" s="20"/>
      <c r="B61" s="58" t="str">
        <f>'2026'!B61</f>
        <v>3-01.○○機能画面</v>
      </c>
      <c r="C61" s="59" t="str">
        <f>'2026'!C61</f>
        <v xml:space="preserve"> </v>
      </c>
      <c r="D61" s="60" t="str">
        <f>'2026'!D61</f>
        <v xml:space="preserve"> </v>
      </c>
      <c r="E61" s="61" t="str">
        <f>'2026'!E61</f>
        <v xml:space="preserve"> </v>
      </c>
      <c r="F61" s="61" t="str">
        <f>'2026'!F61</f>
        <v xml:space="preserve"> </v>
      </c>
      <c r="G61" s="36"/>
      <c r="H61" s="36" t="e">
        <f ca="1">IF(OR(ISBLANK(タスク_開始),ISBLANK(タスク_終了)),"",タスク_終了-タスク_開始+1)</f>
        <v>#VALUE!</v>
      </c>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row>
    <row r="62" spans="1:64" s="37" customFormat="1" ht="30" customHeight="1">
      <c r="A62" s="20"/>
      <c r="B62" s="58" t="str">
        <f>'2026'!B62</f>
        <v>3-02.○○機能画面</v>
      </c>
      <c r="C62" s="59" t="str">
        <f>'2026'!C62</f>
        <v xml:space="preserve"> </v>
      </c>
      <c r="D62" s="60" t="str">
        <f>'2026'!D62</f>
        <v xml:space="preserve"> </v>
      </c>
      <c r="E62" s="61" t="str">
        <f>'2026'!E62</f>
        <v xml:space="preserve"> </v>
      </c>
      <c r="F62" s="61" t="str">
        <f>'2026'!F62</f>
        <v xml:space="preserve"> </v>
      </c>
      <c r="G62" s="36"/>
      <c r="H62" s="36" t="e">
        <f ca="1">IF(OR(ISBLANK(タスク_開始),ISBLANK(タスク_終了)),"",タスク_終了-タスク_開始+1)</f>
        <v>#VALUE!</v>
      </c>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row>
    <row r="63" spans="1:64" s="37" customFormat="1" ht="30" customHeight="1">
      <c r="A63" s="20"/>
      <c r="B63" s="58" t="str">
        <f>'2026'!B63</f>
        <v>3-03.○○機能画面</v>
      </c>
      <c r="C63" s="59" t="str">
        <f>'2026'!C63</f>
        <v xml:space="preserve"> </v>
      </c>
      <c r="D63" s="60" t="str">
        <f>'2026'!D63</f>
        <v xml:space="preserve"> </v>
      </c>
      <c r="E63" s="61" t="str">
        <f>'2026'!E63</f>
        <v xml:space="preserve"> </v>
      </c>
      <c r="F63" s="61" t="str">
        <f>'2026'!F63</f>
        <v xml:space="preserve"> </v>
      </c>
      <c r="G63" s="36"/>
      <c r="H63" s="36" t="e">
        <f ca="1">IF(OR(ISBLANK(タスク_開始),ISBLANK(タスク_終了)),"",タスク_終了-タスク_開始+1)</f>
        <v>#VALUE!</v>
      </c>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row>
    <row r="64" spans="1:64" s="37" customFormat="1" ht="30" customHeight="1">
      <c r="A64" s="20"/>
      <c r="B64" s="58" t="str">
        <f>'2026'!B64</f>
        <v>3-04.○○機能画面</v>
      </c>
      <c r="C64" s="59" t="str">
        <f>'2026'!C64</f>
        <v xml:space="preserve"> </v>
      </c>
      <c r="D64" s="60" t="str">
        <f>'2026'!D64</f>
        <v xml:space="preserve"> </v>
      </c>
      <c r="E64" s="61" t="str">
        <f>'2026'!E64</f>
        <v xml:space="preserve"> </v>
      </c>
      <c r="F64" s="61" t="str">
        <f>'2026'!F64</f>
        <v xml:space="preserve"> </v>
      </c>
      <c r="G64" s="36"/>
      <c r="H64" s="36" t="e">
        <f ca="1">IF(OR(ISBLANK(タスク_開始),ISBLANK(タスク_終了)),"",タスク_終了-タスク_開始+1)</f>
        <v>#VALUE!</v>
      </c>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row>
    <row r="65" spans="1:64" s="37" customFormat="1" ht="30" customHeight="1">
      <c r="A65" s="20"/>
      <c r="B65" s="58" t="str">
        <f>'2026'!B65</f>
        <v>3-05.○○機能画面</v>
      </c>
      <c r="C65" s="59" t="str">
        <f>'2026'!C65</f>
        <v xml:space="preserve"> </v>
      </c>
      <c r="D65" s="60" t="str">
        <f>'2026'!D65</f>
        <v xml:space="preserve"> </v>
      </c>
      <c r="E65" s="61" t="str">
        <f>'2026'!E65</f>
        <v xml:space="preserve"> </v>
      </c>
      <c r="F65" s="61" t="str">
        <f>'2026'!F65</f>
        <v xml:space="preserve"> </v>
      </c>
      <c r="G65" s="36"/>
      <c r="H65" s="36" t="e">
        <f ca="1">IF(OR(ISBLANK(タスク_開始),ISBLANK(タスク_終了)),"",タスク_終了-タスク_開始+1)</f>
        <v>#VALUE!</v>
      </c>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row>
    <row r="66" spans="1:64" s="37" customFormat="1" ht="30" customHeight="1">
      <c r="A66" s="20"/>
      <c r="B66" s="58" t="str">
        <f>'2026'!B66</f>
        <v>3-06.○○機能画面</v>
      </c>
      <c r="C66" s="59" t="str">
        <f>'2026'!C66</f>
        <v xml:space="preserve"> </v>
      </c>
      <c r="D66" s="60" t="str">
        <f>'2026'!D66</f>
        <v xml:space="preserve"> </v>
      </c>
      <c r="E66" s="61" t="str">
        <f>'2026'!E66</f>
        <v xml:space="preserve"> </v>
      </c>
      <c r="F66" s="61" t="str">
        <f>'2026'!F66</f>
        <v xml:space="preserve"> </v>
      </c>
      <c r="G66" s="36"/>
      <c r="H66" s="36" t="e">
        <f ca="1">IF(OR(ISBLANK(タスク_開始),ISBLANK(タスク_終了)),"",タスク_終了-タスク_開始+1)</f>
        <v>#VALUE!</v>
      </c>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row>
    <row r="67" spans="1:64" s="37" customFormat="1" ht="30" customHeight="1">
      <c r="A67" s="20"/>
      <c r="B67" s="58" t="str">
        <f>'2026'!B67</f>
        <v>3-07.○○機能画面</v>
      </c>
      <c r="C67" s="59" t="str">
        <f>'2026'!C67</f>
        <v xml:space="preserve"> </v>
      </c>
      <c r="D67" s="60" t="str">
        <f>'2026'!D67</f>
        <v xml:space="preserve"> </v>
      </c>
      <c r="E67" s="61" t="str">
        <f>'2026'!E67</f>
        <v xml:space="preserve"> </v>
      </c>
      <c r="F67" s="61" t="str">
        <f>'2026'!F67</f>
        <v xml:space="preserve"> </v>
      </c>
      <c r="G67" s="36"/>
      <c r="H67" s="36" t="e">
        <f ca="1">IF(OR(ISBLANK(タスク_開始),ISBLANK(タスク_終了)),"",タスク_終了-タスク_開始+1)</f>
        <v>#VALUE!</v>
      </c>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row>
    <row r="68" outlineLevel="1" hidden="1" spans="1:64" s="37" customFormat="1" ht="30" customHeight="1">
      <c r="A68" s="20"/>
      <c r="B68" s="58" t="str">
        <f>'2026'!B68</f>
        <v>3-08.○○機能画面</v>
      </c>
      <c r="C68" s="59" t="str">
        <f>'2026'!C68</f>
        <v xml:space="preserve"> </v>
      </c>
      <c r="D68" s="60" t="str">
        <f>'2026'!D68</f>
        <v xml:space="preserve"> </v>
      </c>
      <c r="E68" s="61" t="str">
        <f>'2026'!E68</f>
        <v xml:space="preserve"> </v>
      </c>
      <c r="F68" s="61" t="str">
        <f>'2026'!F68</f>
        <v xml:space="preserve"> </v>
      </c>
      <c r="G68" s="36"/>
      <c r="H68" s="36" t="e">
        <f ca="1">IF(OR(ISBLANK(タスク_開始),ISBLANK(タスク_終了)),"",タスク_終了-タスク_開始+1)</f>
        <v>#VALUE!</v>
      </c>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row>
    <row r="69" outlineLevel="1" hidden="1" spans="1:64" s="37" customFormat="1" ht="30" customHeight="1">
      <c r="A69" s="20"/>
      <c r="B69" s="58" t="str">
        <f>'2026'!B69</f>
        <v>3-09.○○機能画面</v>
      </c>
      <c r="C69" s="59" t="str">
        <f>'2026'!C69</f>
        <v xml:space="preserve"> </v>
      </c>
      <c r="D69" s="60" t="str">
        <f>'2026'!D69</f>
        <v xml:space="preserve"> </v>
      </c>
      <c r="E69" s="61" t="str">
        <f>'2026'!E69</f>
        <v xml:space="preserve"> </v>
      </c>
      <c r="F69" s="61" t="str">
        <f>'2026'!F69</f>
        <v xml:space="preserve"> </v>
      </c>
      <c r="G69" s="36"/>
      <c r="H69" s="36" t="e">
        <f ca="1">IF(OR(ISBLANK(タスク_開始),ISBLANK(タスク_終了)),"",タスク_終了-タスク_開始+1)</f>
        <v>#VALUE!</v>
      </c>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row>
    <row r="70" outlineLevel="1" hidden="1" spans="1:64" s="37" customFormat="1" ht="30" customHeight="1">
      <c r="A70" s="20"/>
      <c r="B70" s="58" t="str">
        <f>'2026'!B70</f>
        <v>3-10.○○機能画面</v>
      </c>
      <c r="C70" s="59" t="str">
        <f>'2026'!C70</f>
        <v xml:space="preserve"> </v>
      </c>
      <c r="D70" s="60" t="str">
        <f>'2026'!D70</f>
        <v xml:space="preserve"> </v>
      </c>
      <c r="E70" s="61" t="str">
        <f>'2026'!E70</f>
        <v xml:space="preserve"> </v>
      </c>
      <c r="F70" s="61" t="str">
        <f>'2026'!F70</f>
        <v xml:space="preserve"> </v>
      </c>
      <c r="G70" s="36"/>
      <c r="H70" s="36" t="e">
        <f ca="1">IF(OR(ISBLANK(タスク_開始),ISBLANK(タスク_終了)),"",タスク_終了-タスク_開始+1)</f>
        <v>#VALUE!</v>
      </c>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row>
    <row r="71" outlineLevel="1" hidden="1" spans="1:64" s="37" customFormat="1" ht="30" customHeight="1">
      <c r="A71" s="20"/>
      <c r="B71" s="58" t="str">
        <f>'2026'!B71</f>
        <v>3-11.○○機能画面</v>
      </c>
      <c r="C71" s="59" t="str">
        <f>'2026'!C71</f>
        <v xml:space="preserve"> </v>
      </c>
      <c r="D71" s="60" t="str">
        <f>'2026'!D71</f>
        <v xml:space="preserve"> </v>
      </c>
      <c r="E71" s="61" t="str">
        <f>'2026'!E71</f>
        <v xml:space="preserve"> </v>
      </c>
      <c r="F71" s="61" t="str">
        <f>'2026'!F71</f>
        <v xml:space="preserve"> </v>
      </c>
      <c r="G71" s="36"/>
      <c r="H71" s="36" t="e">
        <f ca="1">IF(OR(ISBLANK(タスク_開始),ISBLANK(タスク_終了)),"",タスク_終了-タスク_開始+1)</f>
        <v>#VALUE!</v>
      </c>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row>
    <row r="72" outlineLevel="1" hidden="1" spans="1:64" s="37" customFormat="1" ht="30" customHeight="1">
      <c r="A72" s="20"/>
      <c r="B72" s="58" t="str">
        <f>'2026'!B72</f>
        <v>3-12.○○機能画面</v>
      </c>
      <c r="C72" s="59" t="str">
        <f>'2026'!C72</f>
        <v xml:space="preserve"> </v>
      </c>
      <c r="D72" s="60" t="str">
        <f>'2026'!D72</f>
        <v xml:space="preserve"> </v>
      </c>
      <c r="E72" s="61" t="str">
        <f>'2026'!E72</f>
        <v xml:space="preserve"> </v>
      </c>
      <c r="F72" s="61" t="str">
        <f>'2026'!F72</f>
        <v xml:space="preserve"> </v>
      </c>
      <c r="G72" s="36"/>
      <c r="H72" s="36" t="e">
        <f ca="1">IF(OR(ISBLANK(タスク_開始),ISBLANK(タスク_終了)),"",タスク_終了-タスク_開始+1)</f>
        <v>#VALUE!</v>
      </c>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row>
    <row r="73" outlineLevel="1" hidden="1" spans="1:64" s="37" customFormat="1" ht="30" customHeight="1">
      <c r="A73" s="20"/>
      <c r="B73" s="58" t="str">
        <f>'2026'!B73</f>
        <v>3-13.○○機能画面</v>
      </c>
      <c r="C73" s="59" t="str">
        <f>'2026'!C73</f>
        <v xml:space="preserve"> </v>
      </c>
      <c r="D73" s="60" t="str">
        <f>'2026'!D73</f>
        <v xml:space="preserve"> </v>
      </c>
      <c r="E73" s="61" t="str">
        <f>'2026'!E73</f>
        <v xml:space="preserve"> </v>
      </c>
      <c r="F73" s="61" t="str">
        <f>'2026'!F73</f>
        <v xml:space="preserve"> </v>
      </c>
      <c r="G73" s="36"/>
      <c r="H73" s="36" t="e">
        <f ca="1">IF(OR(ISBLANK(タスク_開始),ISBLANK(タスク_終了)),"",タスク_終了-タスク_開始+1)</f>
        <v>#VALUE!</v>
      </c>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row>
    <row r="74" outlineLevel="1" hidden="1" spans="1:64" s="37" customFormat="1" ht="30" customHeight="1">
      <c r="A74" s="20"/>
      <c r="B74" s="58" t="str">
        <f>'2026'!B74</f>
        <v>3-14.○○機能画面</v>
      </c>
      <c r="C74" s="59" t="str">
        <f>'2026'!C74</f>
        <v xml:space="preserve"> </v>
      </c>
      <c r="D74" s="60" t="str">
        <f>'2026'!D74</f>
        <v xml:space="preserve"> </v>
      </c>
      <c r="E74" s="61" t="str">
        <f>'2026'!E74</f>
        <v xml:space="preserve"> </v>
      </c>
      <c r="F74" s="61" t="str">
        <f>'2026'!F74</f>
        <v xml:space="preserve"> </v>
      </c>
      <c r="G74" s="36"/>
      <c r="H74" s="36" t="e">
        <f ca="1">IF(OR(ISBLANK(タスク_開始),ISBLANK(タスク_終了)),"",タスク_終了-タスク_開始+1)</f>
        <v>#VALUE!</v>
      </c>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row>
    <row r="75" outlineLevel="1" hidden="1" spans="1:64" s="37" customFormat="1" ht="30" customHeight="1">
      <c r="A75" s="20"/>
      <c r="B75" s="58" t="str">
        <f>'2026'!B75</f>
        <v>3-15.○○機能画面</v>
      </c>
      <c r="C75" s="59" t="str">
        <f>'2026'!C75</f>
        <v xml:space="preserve"> </v>
      </c>
      <c r="D75" s="60" t="str">
        <f>'2026'!D75</f>
        <v xml:space="preserve"> </v>
      </c>
      <c r="E75" s="61" t="str">
        <f>'2026'!E75</f>
        <v xml:space="preserve"> </v>
      </c>
      <c r="F75" s="61" t="str">
        <f>'2026'!F75</f>
        <v xml:space="preserve"> </v>
      </c>
      <c r="G75" s="36"/>
      <c r="H75" s="36" t="e">
        <f ca="1">IF(OR(ISBLANK(タスク_開始),ISBLANK(タスク_終了)),"",タスク_終了-タスク_開始+1)</f>
        <v>#VALUE!</v>
      </c>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row>
    <row r="76" outlineLevel="1" hidden="1" spans="1:64" s="37" customFormat="1" ht="30" customHeight="1">
      <c r="A76" s="20"/>
      <c r="B76" s="58" t="str">
        <f>'2026'!B76</f>
        <v>3-16.○○機能画面</v>
      </c>
      <c r="C76" s="59" t="str">
        <f>'2026'!C76</f>
        <v xml:space="preserve"> </v>
      </c>
      <c r="D76" s="60" t="str">
        <f>'2026'!D76</f>
        <v xml:space="preserve"> </v>
      </c>
      <c r="E76" s="61" t="str">
        <f>'2026'!E76</f>
        <v xml:space="preserve"> </v>
      </c>
      <c r="F76" s="61" t="str">
        <f>'2026'!F76</f>
        <v xml:space="preserve"> </v>
      </c>
      <c r="G76" s="36"/>
      <c r="H76" s="36" t="e">
        <f ca="1">IF(OR(ISBLANK(タスク_開始),ISBLANK(タスク_終了)),"",タスク_終了-タスク_開始+1)</f>
        <v>#VALUE!</v>
      </c>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row>
    <row r="77" outlineLevel="1" hidden="1" spans="1:64" s="37" customFormat="1" ht="30" customHeight="1">
      <c r="A77" s="20"/>
      <c r="B77" s="58" t="str">
        <f>'2026'!B77</f>
        <v>3-17.○○機能画面</v>
      </c>
      <c r="C77" s="59" t="str">
        <f>'2026'!C77</f>
        <v xml:space="preserve"> </v>
      </c>
      <c r="D77" s="60" t="str">
        <f>'2026'!D77</f>
        <v xml:space="preserve"> </v>
      </c>
      <c r="E77" s="61" t="str">
        <f>'2026'!E77</f>
        <v xml:space="preserve"> </v>
      </c>
      <c r="F77" s="61" t="str">
        <f>'2026'!F77</f>
        <v xml:space="preserve"> </v>
      </c>
      <c r="G77" s="36"/>
      <c r="H77" s="36" t="e">
        <f ca="1">IF(OR(ISBLANK(タスク_開始),ISBLANK(タスク_終了)),"",タスク_終了-タスク_開始+1)</f>
        <v>#VALUE!</v>
      </c>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row>
    <row r="78" outlineLevel="1" hidden="1" spans="1:64" s="37" customFormat="1" ht="30" customHeight="1">
      <c r="A78" s="20"/>
      <c r="B78" s="58" t="str">
        <f>'2026'!B78</f>
        <v>3-18.○○機能画面</v>
      </c>
      <c r="C78" s="59" t="str">
        <f>'2026'!C78</f>
        <v xml:space="preserve"> </v>
      </c>
      <c r="D78" s="60" t="str">
        <f>'2026'!D78</f>
        <v xml:space="preserve"> </v>
      </c>
      <c r="E78" s="61" t="str">
        <f>'2026'!E78</f>
        <v xml:space="preserve"> </v>
      </c>
      <c r="F78" s="61" t="str">
        <f>'2026'!F78</f>
        <v xml:space="preserve"> </v>
      </c>
      <c r="G78" s="36"/>
      <c r="H78" s="36" t="e">
        <f ca="1">IF(OR(ISBLANK(タスク_開始),ISBLANK(タスク_終了)),"",タスク_終了-タスク_開始+1)</f>
        <v>#VALUE!</v>
      </c>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row>
    <row r="79" outlineLevel="1" hidden="1" spans="1:64" s="37" customFormat="1" ht="30" customHeight="1">
      <c r="A79" s="20"/>
      <c r="B79" s="58" t="str">
        <f>'2026'!B79</f>
        <v>3-19.○○機能画面</v>
      </c>
      <c r="C79" s="59" t="str">
        <f>'2026'!C79</f>
        <v xml:space="preserve"> </v>
      </c>
      <c r="D79" s="60" t="str">
        <f>'2026'!D79</f>
        <v xml:space="preserve"> </v>
      </c>
      <c r="E79" s="61" t="str">
        <f>'2026'!E79</f>
        <v xml:space="preserve"> </v>
      </c>
      <c r="F79" s="61" t="str">
        <f>'2026'!F79</f>
        <v xml:space="preserve"> </v>
      </c>
      <c r="G79" s="36"/>
      <c r="H79" s="36" t="e">
        <f ca="1">IF(OR(ISBLANK(タスク_開始),ISBLANK(タスク_終了)),"",タスク_終了-タスク_開始+1)</f>
        <v>#VALUE!</v>
      </c>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row>
    <row r="80" outlineLevel="1" hidden="1" spans="1:64" s="37" customFormat="1" ht="30" customHeight="1">
      <c r="A80" s="20"/>
      <c r="B80" s="58" t="str">
        <f>'2026'!B80</f>
        <v>3-20.○○機能画面</v>
      </c>
      <c r="C80" s="59" t="str">
        <f>'2026'!C80</f>
        <v xml:space="preserve"> </v>
      </c>
      <c r="D80" s="60" t="str">
        <f>'2026'!D80</f>
        <v xml:space="preserve"> </v>
      </c>
      <c r="E80" s="61" t="str">
        <f>'2026'!E80</f>
        <v xml:space="preserve"> </v>
      </c>
      <c r="F80" s="61" t="str">
        <f>'2026'!F80</f>
        <v xml:space="preserve"> </v>
      </c>
      <c r="G80" s="36"/>
      <c r="H80" s="36" t="e">
        <f ca="1">IF(OR(ISBLANK(タスク_開始),ISBLANK(タスク_終了)),"",タスク_終了-タスク_開始+1)</f>
        <v>#VALUE!</v>
      </c>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row>
    <row r="81" outlineLevel="1" hidden="1" spans="1:64" s="37" customFormat="1" ht="30" customHeight="1">
      <c r="A81" s="20"/>
      <c r="B81" s="58" t="str">
        <f>'2026'!B81</f>
        <v>3-21.○○機能画面</v>
      </c>
      <c r="C81" s="59" t="str">
        <f>'2026'!C81</f>
        <v xml:space="preserve"> </v>
      </c>
      <c r="D81" s="60" t="str">
        <f>'2026'!D81</f>
        <v xml:space="preserve"> </v>
      </c>
      <c r="E81" s="61" t="str">
        <f>'2026'!E81</f>
        <v xml:space="preserve"> </v>
      </c>
      <c r="F81" s="61" t="str">
        <f>'2026'!F81</f>
        <v xml:space="preserve"> </v>
      </c>
      <c r="G81" s="36"/>
      <c r="H81" s="36" t="e">
        <f ca="1">IF(OR(ISBLANK(タスク_開始),ISBLANK(タスク_終了)),"",タスク_終了-タスク_開始+1)</f>
        <v>#VALUE!</v>
      </c>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row>
    <row r="82" outlineLevel="1" hidden="1" spans="1:64" s="37" customFormat="1" ht="30" customHeight="1">
      <c r="A82" s="20"/>
      <c r="B82" s="58" t="str">
        <f>'2026'!B82</f>
        <v>3-22.○○機能画面</v>
      </c>
      <c r="C82" s="59" t="str">
        <f>'2026'!C82</f>
        <v xml:space="preserve"> </v>
      </c>
      <c r="D82" s="60" t="str">
        <f>'2026'!D82</f>
        <v xml:space="preserve"> </v>
      </c>
      <c r="E82" s="61" t="str">
        <f>'2026'!E82</f>
        <v xml:space="preserve"> </v>
      </c>
      <c r="F82" s="61" t="str">
        <f>'2026'!F82</f>
        <v xml:space="preserve"> </v>
      </c>
      <c r="G82" s="36"/>
      <c r="H82" s="36" t="e">
        <f ca="1">IF(OR(ISBLANK(タスク_開始),ISBLANK(タスク_終了)),"",タスク_終了-タスク_開始+1)</f>
        <v>#VALUE!</v>
      </c>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row>
    <row r="83" outlineLevel="1" hidden="1" spans="1:64" s="37" customFormat="1" ht="30" customHeight="1">
      <c r="A83" s="20"/>
      <c r="B83" s="58" t="str">
        <f>'2026'!B83</f>
        <v>3-23.○○機能画面</v>
      </c>
      <c r="C83" s="59" t="str">
        <f>'2026'!C83</f>
        <v xml:space="preserve"> </v>
      </c>
      <c r="D83" s="60" t="str">
        <f>'2026'!D83</f>
        <v xml:space="preserve"> </v>
      </c>
      <c r="E83" s="61" t="str">
        <f>'2026'!E83</f>
        <v xml:space="preserve"> </v>
      </c>
      <c r="F83" s="61" t="str">
        <f>'2026'!F83</f>
        <v xml:space="preserve"> </v>
      </c>
      <c r="G83" s="36"/>
      <c r="H83" s="36" t="e">
        <f ca="1">IF(OR(ISBLANK(タスク_開始),ISBLANK(タスク_終了)),"",タスク_終了-タスク_開始+1)</f>
        <v>#VALUE!</v>
      </c>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row>
    <row r="84" outlineLevel="1" hidden="1" spans="1:64" s="37" customFormat="1" ht="30" customHeight="1">
      <c r="A84" s="20"/>
      <c r="B84" s="58" t="str">
        <f>'2026'!B84</f>
        <v>3-24.○○機能画面</v>
      </c>
      <c r="C84" s="59" t="str">
        <f>'2026'!C84</f>
        <v xml:space="preserve"> </v>
      </c>
      <c r="D84" s="60" t="str">
        <f>'2026'!D84</f>
        <v xml:space="preserve"> </v>
      </c>
      <c r="E84" s="61" t="str">
        <f>'2026'!E84</f>
        <v xml:space="preserve"> </v>
      </c>
      <c r="F84" s="61" t="str">
        <f>'2026'!F84</f>
        <v xml:space="preserve"> </v>
      </c>
      <c r="G84" s="36"/>
      <c r="H84" s="36" t="e">
        <f ca="1">IF(OR(ISBLANK(タスク_開始),ISBLANK(タスク_終了)),"",タスク_終了-タスク_開始+1)</f>
        <v>#VALUE!</v>
      </c>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row>
    <row r="85" outlineLevel="1" hidden="1" spans="1:64" s="37" customFormat="1" ht="30" customHeight="1">
      <c r="A85" s="20"/>
      <c r="B85" s="58" t="str">
        <f>'2026'!B85</f>
        <v>3-25.○○機能画面</v>
      </c>
      <c r="C85" s="59" t="str">
        <f>'2026'!C85</f>
        <v xml:space="preserve"> </v>
      </c>
      <c r="D85" s="60" t="str">
        <f>'2026'!D85</f>
        <v xml:space="preserve"> </v>
      </c>
      <c r="E85" s="61" t="str">
        <f>'2026'!E85</f>
        <v xml:space="preserve"> </v>
      </c>
      <c r="F85" s="61" t="str">
        <f>'2026'!F85</f>
        <v xml:space="preserve"> </v>
      </c>
      <c r="G85" s="36"/>
      <c r="H85" s="36" t="e">
        <f ca="1">IF(OR(ISBLANK(タスク_開始),ISBLANK(タスク_終了)),"",タスク_終了-タスク_開始+1)</f>
        <v>#VALUE!</v>
      </c>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row>
    <row r="86" outlineLevel="1" hidden="1" spans="1:64" s="37" customFormat="1" ht="30" customHeight="1">
      <c r="A86" s="20"/>
      <c r="B86" s="58" t="str">
        <f>'2026'!B86</f>
        <v>3-26.○○機能画面</v>
      </c>
      <c r="C86" s="59" t="str">
        <f>'2026'!C86</f>
        <v xml:space="preserve"> </v>
      </c>
      <c r="D86" s="60" t="str">
        <f>'2026'!D86</f>
        <v xml:space="preserve"> </v>
      </c>
      <c r="E86" s="61" t="str">
        <f>'2026'!E86</f>
        <v xml:space="preserve"> </v>
      </c>
      <c r="F86" s="61" t="str">
        <f>'2026'!F86</f>
        <v xml:space="preserve"> </v>
      </c>
      <c r="G86" s="36"/>
      <c r="H86" s="36" t="e">
        <f ca="1">IF(OR(ISBLANK(タスク_開始),ISBLANK(タスク_終了)),"",タスク_終了-タスク_開始+1)</f>
        <v>#VALUE!</v>
      </c>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row>
    <row r="87" outlineLevel="1" hidden="1" spans="1:64" s="37" customFormat="1" ht="30" customHeight="1">
      <c r="A87" s="20"/>
      <c r="B87" s="58" t="str">
        <f>'2026'!B87</f>
        <v>3-27.○○機能画面</v>
      </c>
      <c r="C87" s="59" t="str">
        <f>'2026'!C87</f>
        <v xml:space="preserve"> </v>
      </c>
      <c r="D87" s="60" t="str">
        <f>'2026'!D87</f>
        <v xml:space="preserve"> </v>
      </c>
      <c r="E87" s="61" t="str">
        <f>'2026'!E87</f>
        <v xml:space="preserve"> </v>
      </c>
      <c r="F87" s="61" t="str">
        <f>'2026'!F87</f>
        <v xml:space="preserve"> </v>
      </c>
      <c r="G87" s="36"/>
      <c r="H87" s="36" t="e">
        <f ca="1">IF(OR(ISBLANK(タスク_開始),ISBLANK(タスク_終了)),"",タスク_終了-タスク_開始+1)</f>
        <v>#VALUE!</v>
      </c>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row>
    <row r="88" outlineLevel="1" hidden="1" spans="1:64" s="37" customFormat="1" ht="30" customHeight="1">
      <c r="A88" s="20"/>
      <c r="B88" s="58" t="str">
        <f>'2026'!B88</f>
        <v>3-28.○○機能画面</v>
      </c>
      <c r="C88" s="59" t="str">
        <f>'2026'!C88</f>
        <v xml:space="preserve"> </v>
      </c>
      <c r="D88" s="60" t="str">
        <f>'2026'!D88</f>
        <v xml:space="preserve"> </v>
      </c>
      <c r="E88" s="61" t="str">
        <f>'2026'!E88</f>
        <v xml:space="preserve"> </v>
      </c>
      <c r="F88" s="61" t="str">
        <f>'2026'!F88</f>
        <v xml:space="preserve"> </v>
      </c>
      <c r="G88" s="36"/>
      <c r="H88" s="36" t="e">
        <f ca="1">IF(OR(ISBLANK(タスク_開始),ISBLANK(タスク_終了)),"",タスク_終了-タスク_開始+1)</f>
        <v>#VALUE!</v>
      </c>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row>
    <row r="89" outlineLevel="1" hidden="1" spans="1:64" s="37" customFormat="1" ht="30" customHeight="1">
      <c r="A89" s="20"/>
      <c r="B89" s="58" t="str">
        <f>'2026'!B89</f>
        <v>3-29.○○機能画面</v>
      </c>
      <c r="C89" s="59" t="str">
        <f>'2026'!C89</f>
        <v xml:space="preserve"> </v>
      </c>
      <c r="D89" s="60" t="str">
        <f>'2026'!D89</f>
        <v xml:space="preserve"> </v>
      </c>
      <c r="E89" s="61" t="str">
        <f>'2026'!E89</f>
        <v xml:space="preserve"> </v>
      </c>
      <c r="F89" s="61" t="str">
        <f>'2026'!F89</f>
        <v xml:space="preserve"> </v>
      </c>
      <c r="G89" s="36"/>
      <c r="H89" s="36" t="e">
        <f ca="1">IF(OR(ISBLANK(タスク_開始),ISBLANK(タスク_終了)),"",タスク_終了-タスク_開始+1)</f>
        <v>#VALUE!</v>
      </c>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row>
    <row r="90" outlineLevel="1" hidden="1" spans="1:64" s="37" customFormat="1" ht="30" customHeight="1">
      <c r="A90" s="20"/>
      <c r="B90" s="58" t="str">
        <f>'2026'!B90</f>
        <v>3-30.○○機能画面</v>
      </c>
      <c r="C90" s="59" t="str">
        <f>'2026'!C90</f>
        <v xml:space="preserve"> </v>
      </c>
      <c r="D90" s="60" t="str">
        <f>'2026'!D90</f>
        <v xml:space="preserve"> </v>
      </c>
      <c r="E90" s="61" t="str">
        <f>'2026'!E90</f>
        <v xml:space="preserve"> </v>
      </c>
      <c r="F90" s="61" t="str">
        <f>'2026'!F90</f>
        <v xml:space="preserve"> </v>
      </c>
      <c r="G90" s="36"/>
      <c r="H90" s="36" t="e">
        <f ca="1">IF(OR(ISBLANK(タスク_開始),ISBLANK(タスク_終了)),"",タスク_終了-タスク_開始+1)</f>
        <v>#VALUE!</v>
      </c>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row>
    <row r="91" collapsed="1" spans="1:64" s="37" customFormat="1" ht="30" customHeight="1">
      <c r="A91" s="20" t="s">
        <v>74</v>
      </c>
      <c r="B91" s="62" t="s">
        <v>109</v>
      </c>
      <c r="C91" s="63"/>
      <c r="D91" s="64"/>
      <c r="E91" s="65"/>
      <c r="F91" s="66"/>
      <c r="G91" s="36"/>
      <c r="H91" s="36" t="str">
        <f ca="1">IF(OR(ISBLANK(タスク_開始),ISBLANK(タスク_終了)),"",タスク_終了-タスク_開始+1)</f>
        <v/>
      </c>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row>
    <row r="92" spans="1:64" s="37" customFormat="1" ht="30" customHeight="1">
      <c r="A92" s="20"/>
      <c r="B92" s="67" t="str">
        <f>'2026'!B92</f>
        <v>テーブル定義</v>
      </c>
      <c r="C92" s="68" t="str">
        <f>'2026'!C92</f>
        <v xml:space="preserve"> </v>
      </c>
      <c r="D92" s="69" t="str">
        <f>'2026'!D92</f>
        <v xml:space="preserve"> </v>
      </c>
      <c r="E92" s="70" t="str">
        <f>'2026'!E92</f>
        <v xml:space="preserve"> </v>
      </c>
      <c r="F92" s="70" t="str">
        <f>'2026'!F92</f>
        <v xml:space="preserve"> </v>
      </c>
      <c r="G92" s="36"/>
      <c r="H92" s="36" t="e">
        <f ca="1">IF(OR(ISBLANK(タスク_開始),ISBLANK(タスク_終了)),"",タスク_終了-タスク_開始+1)</f>
        <v>#VALUE!</v>
      </c>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row>
    <row r="93" spans="1:64" s="37" customFormat="1" ht="30" customHeight="1">
      <c r="A93" s="20"/>
      <c r="B93" s="67" t="str">
        <f>'2026'!B93</f>
        <v>ER図</v>
      </c>
      <c r="C93" s="68" t="str">
        <f>'2026'!C93</f>
        <v xml:space="preserve"> </v>
      </c>
      <c r="D93" s="69" t="str">
        <f>'2026'!D93</f>
        <v xml:space="preserve"> </v>
      </c>
      <c r="E93" s="70" t="str">
        <f>'2026'!E93</f>
        <v xml:space="preserve"> </v>
      </c>
      <c r="F93" s="70" t="str">
        <f>'2026'!F93</f>
        <v xml:space="preserve"> </v>
      </c>
      <c r="G93" s="36"/>
      <c r="H93" s="36" t="e">
        <f ca="1">IF(OR(ISBLANK(タスク_開始),ISBLANK(タスク_終了)),"",タスク_終了-タスク_開始+1)</f>
        <v>#VALUE!</v>
      </c>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row>
    <row r="94" spans="1:64" s="37" customFormat="1" ht="30" customHeight="1">
      <c r="A94" s="20"/>
      <c r="B94" s="67" t="str">
        <f>'2026'!B94</f>
        <v>4-01.ベース車両テーブル（T_vehicles)</v>
      </c>
      <c r="C94" s="68" t="str">
        <f>'2026'!C94</f>
        <v xml:space="preserve"> </v>
      </c>
      <c r="D94" s="69" t="str">
        <f>'2026'!D94</f>
        <v xml:space="preserve"> </v>
      </c>
      <c r="E94" s="70" t="str">
        <f>'2026'!E94</f>
        <v xml:space="preserve"> </v>
      </c>
      <c r="F94" s="70" t="str">
        <f>'2026'!F94</f>
        <v xml:space="preserve"> </v>
      </c>
      <c r="G94" s="36"/>
      <c r="H94" s="36" t="e">
        <f ca="1">IF(OR(ISBLANK(タスク_開始),ISBLANK(タスク_終了)),"",タスク_終了-タスク_開始+1)</f>
        <v>#VALUE!</v>
      </c>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row>
    <row r="95" spans="1:64" s="37" customFormat="1" ht="30" customHeight="1">
      <c r="A95" s="20"/>
      <c r="B95" s="67" t="str">
        <f>'2026'!B95</f>
        <v>4-02.部位テーブル（T_part_slots)</v>
      </c>
      <c r="C95" s="68" t="str">
        <f>'2026'!C95</f>
        <v xml:space="preserve"> </v>
      </c>
      <c r="D95" s="69" t="str">
        <f>'2026'!D95</f>
        <v xml:space="preserve"> </v>
      </c>
      <c r="E95" s="70" t="str">
        <f>'2026'!E95</f>
        <v xml:space="preserve"> </v>
      </c>
      <c r="F95" s="70" t="str">
        <f>'2026'!F95</f>
        <v xml:space="preserve"> </v>
      </c>
      <c r="G95" s="36"/>
      <c r="H95" s="36" t="e">
        <f ca="1">IF(OR(ISBLANK(タスク_開始),ISBLANK(タスク_終了)),"",タスク_終了-タスク_開始+1)</f>
        <v>#VALUE!</v>
      </c>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row>
    <row r="96" spans="1:64" s="37" customFormat="1" ht="30" customHeight="1">
      <c r="A96" s="20"/>
      <c r="B96" s="67" t="str">
        <f>'2026'!B96</f>
        <v>4-03.パーツテーブル（T_parts)</v>
      </c>
      <c r="C96" s="68" t="str">
        <f>'2026'!C96</f>
        <v xml:space="preserve"> </v>
      </c>
      <c r="D96" s="69" t="str">
        <f>'2026'!D96</f>
        <v xml:space="preserve"> </v>
      </c>
      <c r="E96" s="70" t="str">
        <f>'2026'!E96</f>
        <v xml:space="preserve"> </v>
      </c>
      <c r="F96" s="70" t="str">
        <f>'2026'!F96</f>
        <v xml:space="preserve"> </v>
      </c>
      <c r="G96" s="36"/>
      <c r="H96" s="36" t="e">
        <f ca="1">IF(OR(ISBLANK(タスク_開始),ISBLANK(タスク_終了)),"",タスク_終了-タスク_開始+1)</f>
        <v>#VALUE!</v>
      </c>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row>
    <row r="97" spans="1:64" s="37" customFormat="1" ht="30" customHeight="1">
      <c r="A97" s="20"/>
      <c r="B97" s="67" t="str">
        <f>'2026'!B97</f>
        <v>4-04.塗装部分テーブル（T_paint_slots)</v>
      </c>
      <c r="C97" s="68" t="str">
        <f>'2026'!C97</f>
        <v xml:space="preserve"> </v>
      </c>
      <c r="D97" s="69" t="str">
        <f>'2026'!D97</f>
        <v xml:space="preserve"> </v>
      </c>
      <c r="E97" s="70" t="str">
        <f>'2026'!E97</f>
        <v xml:space="preserve"> </v>
      </c>
      <c r="F97" s="70" t="str">
        <f>'2026'!F97</f>
        <v xml:space="preserve"> </v>
      </c>
      <c r="G97" s="36"/>
      <c r="H97" s="36" t="e">
        <f ca="1">IF(OR(ISBLANK(タスク_開始),ISBLANK(タスク_終了)),"",タスク_終了-タスク_開始+1)</f>
        <v>#VALUE!</v>
      </c>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row>
    <row r="98" spans="1:64" s="37" customFormat="1" ht="30" customHeight="1">
      <c r="A98" s="20"/>
      <c r="B98" s="67" t="str">
        <f>'2026'!B98</f>
        <v>4-05.塗装部位の色テーブル（T_pallette_colors)</v>
      </c>
      <c r="C98" s="68" t="str">
        <f>'2026'!C98</f>
        <v xml:space="preserve"> </v>
      </c>
      <c r="D98" s="69" t="str">
        <f>'2026'!D98</f>
        <v xml:space="preserve"> </v>
      </c>
      <c r="E98" s="70" t="str">
        <f>'2026'!E98</f>
        <v xml:space="preserve"> </v>
      </c>
      <c r="F98" s="70" t="str">
        <f>'2026'!F98</f>
        <v xml:space="preserve"> </v>
      </c>
      <c r="G98" s="36"/>
      <c r="H98" s="36" t="e">
        <f ca="1">IF(OR(ISBLANK(タスク_開始),ISBLANK(タスク_終了)),"",タスク_終了-タスク_開始+1)</f>
        <v>#VALUE!</v>
      </c>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row>
    <row r="99" spans="1:64" s="37" customFormat="1" ht="30" customHeight="1">
      <c r="A99" s="20"/>
      <c r="B99" s="67" t="str">
        <f>'2026'!B99</f>
        <v>4-06.組み合わせ制約テーブル（T_constraints)</v>
      </c>
      <c r="C99" s="68" t="str">
        <f>'2026'!C99</f>
        <v xml:space="preserve"> </v>
      </c>
      <c r="D99" s="69" t="str">
        <f>'2026'!D99</f>
        <v xml:space="preserve"> </v>
      </c>
      <c r="E99" s="70" t="str">
        <f>'2026'!E99</f>
        <v xml:space="preserve"> </v>
      </c>
      <c r="F99" s="70" t="str">
        <f>'2026'!F99</f>
        <v xml:space="preserve"> </v>
      </c>
      <c r="G99" s="36"/>
      <c r="H99" s="36" t="e">
        <f ca="1">IF(OR(ISBLANK(タスク_開始),ISBLANK(タスク_終了)),"",タスク_終了-タスク_開始+1)</f>
        <v>#VALUE!</v>
      </c>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row>
    <row r="100" spans="1:64" s="37" customFormat="1" ht="30" customHeight="1">
      <c r="A100" s="20"/>
      <c r="B100" s="67" t="str">
        <f>'2026'!B100</f>
        <v>4-07.仕様テーブル（T_build_spec)</v>
      </c>
      <c r="C100" s="68" t="str">
        <f>'2026'!C100</f>
        <v xml:space="preserve"> </v>
      </c>
      <c r="D100" s="69" t="str">
        <f>'2026'!D100</f>
        <v xml:space="preserve"> </v>
      </c>
      <c r="E100" s="70" t="str">
        <f>'2026'!E100</f>
        <v xml:space="preserve"> </v>
      </c>
      <c r="F100" s="70" t="str">
        <f>'2026'!F100</f>
        <v xml:space="preserve"> </v>
      </c>
      <c r="G100" s="36"/>
      <c r="H100" s="36" t="e">
        <f ca="1">IF(OR(ISBLANK(タスク_開始),ISBLANK(タスク_終了)),"",タスク_終了-タスク_開始+1)</f>
        <v>#VALUE!</v>
      </c>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row>
    <row r="101" spans="1:64" s="37" customFormat="1" ht="30" customHeight="1">
      <c r="A101" s="20"/>
      <c r="B101" s="67" t="str">
        <f>'2026'!B101</f>
        <v>4-08.仕様（パーツ）テーブル（T_build_spec_parts)</v>
      </c>
      <c r="C101" s="68" t="str">
        <f>'2026'!C101</f>
        <v xml:space="preserve"> </v>
      </c>
      <c r="D101" s="69" t="str">
        <f>'2026'!D101</f>
        <v xml:space="preserve"> </v>
      </c>
      <c r="E101" s="70" t="str">
        <f>'2026'!E101</f>
        <v xml:space="preserve"> </v>
      </c>
      <c r="F101" s="70" t="str">
        <f>'2026'!F101</f>
        <v xml:space="preserve"> </v>
      </c>
      <c r="G101" s="36"/>
      <c r="H101" s="36" t="e">
        <f ca="1">IF(OR(ISBLANK(タスク_開始),ISBLANK(タスク_終了)),"",タスク_終了-タスク_開始+1)</f>
        <v>#VALUE!</v>
      </c>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row>
    <row r="102" spans="1:64" s="37" customFormat="1" ht="30" customHeight="1">
      <c r="A102" s="20"/>
      <c r="B102" s="67" t="str">
        <f>'2026'!B102</f>
        <v>4-09.仕様（塗装部位の色）テーブル（T_build_spec_colors)</v>
      </c>
      <c r="C102" s="68" t="str">
        <f>'2026'!C102</f>
        <v xml:space="preserve"> </v>
      </c>
      <c r="D102" s="69" t="str">
        <f>'2026'!D102</f>
        <v xml:space="preserve"> </v>
      </c>
      <c r="E102" s="70" t="str">
        <f>'2026'!E102</f>
        <v xml:space="preserve"> </v>
      </c>
      <c r="F102" s="70" t="str">
        <f>'2026'!F102</f>
        <v xml:space="preserve"> </v>
      </c>
      <c r="G102" s="36"/>
      <c r="H102" s="36" t="e">
        <f ca="1">IF(OR(ISBLANK(タスク_開始),ISBLANK(タスク_終了)),"",タスク_終了-タスク_開始+1)</f>
        <v>#VALUE!</v>
      </c>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row>
    <row r="103" spans="1:64" s="37" customFormat="1" ht="30" customHeight="1">
      <c r="A103" s="20"/>
      <c r="B103" s="67" t="str">
        <f>'2026'!B103</f>
        <v>4-10.名付け保存した仕様テーブル（T_saved_builds)</v>
      </c>
      <c r="C103" s="68" t="str">
        <f>'2026'!C103</f>
        <v xml:space="preserve"> </v>
      </c>
      <c r="D103" s="69" t="str">
        <f>'2026'!D103</f>
        <v xml:space="preserve"> </v>
      </c>
      <c r="E103" s="70" t="str">
        <f>'2026'!E103</f>
        <v xml:space="preserve"> </v>
      </c>
      <c r="F103" s="70" t="str">
        <f>'2026'!F103</f>
        <v xml:space="preserve"> </v>
      </c>
      <c r="G103" s="36"/>
      <c r="H103" s="36" t="e">
        <f ca="1">IF(OR(ISBLANK(タスク_開始),ISBLANK(タスク_終了)),"",タスク_終了-タスク_開始+1)</f>
        <v>#VALUE!</v>
      </c>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row>
    <row r="104" spans="1:64" s="37" customFormat="1" ht="30" customHeight="1">
      <c r="A104" s="20"/>
      <c r="B104" s="67" t="str">
        <f>'2026'!B104</f>
        <v>4-11.○○テーブル（T_xxxx)</v>
      </c>
      <c r="C104" s="68" t="str">
        <f>'2026'!C104</f>
        <v xml:space="preserve"> </v>
      </c>
      <c r="D104" s="69" t="str">
        <f>'2026'!D104</f>
        <v xml:space="preserve"> </v>
      </c>
      <c r="E104" s="70" t="str">
        <f>'2026'!E104</f>
        <v xml:space="preserve"> </v>
      </c>
      <c r="F104" s="70" t="str">
        <f>'2026'!F104</f>
        <v xml:space="preserve"> </v>
      </c>
      <c r="G104" s="36"/>
      <c r="H104" s="36" t="e">
        <f ca="1">IF(OR(ISBLANK(タスク_開始),ISBLANK(タスク_終了)),"",タスク_終了-タスク_開始+1)</f>
        <v>#VALUE!</v>
      </c>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row>
    <row r="105" spans="1:64" s="37" customFormat="1" ht="30" customHeight="1">
      <c r="A105" s="20"/>
      <c r="B105" s="67" t="str">
        <f>'2026'!B105</f>
        <v>4-12.○○テーブル（T_xxxx)</v>
      </c>
      <c r="C105" s="68" t="str">
        <f>'2026'!C105</f>
        <v xml:space="preserve"> </v>
      </c>
      <c r="D105" s="69" t="str">
        <f>'2026'!D105</f>
        <v xml:space="preserve"> </v>
      </c>
      <c r="E105" s="70" t="str">
        <f>'2026'!E105</f>
        <v xml:space="preserve"> </v>
      </c>
      <c r="F105" s="70" t="str">
        <f>'2026'!F105</f>
        <v xml:space="preserve"> </v>
      </c>
      <c r="G105" s="36"/>
      <c r="H105" s="36" t="e">
        <f ca="1">IF(OR(ISBLANK(タスク_開始),ISBLANK(タスク_終了)),"",タスク_終了-タスク_開始+1)</f>
        <v>#VALUE!</v>
      </c>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row>
    <row r="106" spans="1:64" s="37" customFormat="1" ht="30" customHeight="1">
      <c r="A106" s="20"/>
      <c r="B106" s="67" t="str">
        <f>'2026'!B106</f>
        <v>4-13.○○テーブル（T_xxxx)</v>
      </c>
      <c r="C106" s="68" t="str">
        <f>'2026'!C106</f>
        <v xml:space="preserve"> </v>
      </c>
      <c r="D106" s="69" t="str">
        <f>'2026'!D106</f>
        <v xml:space="preserve"> </v>
      </c>
      <c r="E106" s="70" t="str">
        <f>'2026'!E106</f>
        <v xml:space="preserve"> </v>
      </c>
      <c r="F106" s="70" t="str">
        <f>'2026'!F106</f>
        <v xml:space="preserve"> </v>
      </c>
      <c r="G106" s="36"/>
      <c r="H106" s="36" t="e">
        <f ca="1">IF(OR(ISBLANK(タスク_開始),ISBLANK(タスク_終了)),"",タスク_終了-タスク_開始+1)</f>
        <v>#VALUE!</v>
      </c>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row>
    <row r="107" outlineLevel="1" hidden="1" spans="1:64" s="37" customFormat="1" ht="30" customHeight="1">
      <c r="A107" s="20"/>
      <c r="B107" s="67" t="str">
        <f>'2026'!B107</f>
        <v>4-14.○○テーブル（T_xxxx)</v>
      </c>
      <c r="C107" s="68" t="str">
        <f>'2026'!C107</f>
        <v xml:space="preserve"> </v>
      </c>
      <c r="D107" s="69" t="str">
        <f>'2026'!D107</f>
        <v xml:space="preserve"> </v>
      </c>
      <c r="E107" s="70" t="str">
        <f>'2026'!E107</f>
        <v xml:space="preserve"> </v>
      </c>
      <c r="F107" s="70" t="str">
        <f>'2026'!F107</f>
        <v xml:space="preserve"> </v>
      </c>
      <c r="G107" s="36"/>
      <c r="H107" s="36" t="e">
        <f ca="1">IF(OR(ISBLANK(タスク_開始),ISBLANK(タスク_終了)),"",タスク_終了-タスク_開始+1)</f>
        <v>#VALUE!</v>
      </c>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row>
    <row r="108" outlineLevel="1" hidden="1" spans="1:64" s="37" customFormat="1" ht="30" customHeight="1">
      <c r="A108" s="20"/>
      <c r="B108" s="67" t="str">
        <f>'2026'!B108</f>
        <v>4-15.○○テーブル（T_xxxx)</v>
      </c>
      <c r="C108" s="68" t="str">
        <f>'2026'!C108</f>
        <v xml:space="preserve"> </v>
      </c>
      <c r="D108" s="69" t="str">
        <f>'2026'!D108</f>
        <v xml:space="preserve"> </v>
      </c>
      <c r="E108" s="70" t="str">
        <f>'2026'!E108</f>
        <v xml:space="preserve"> </v>
      </c>
      <c r="F108" s="70" t="str">
        <f>'2026'!F108</f>
        <v xml:space="preserve"> </v>
      </c>
      <c r="G108" s="36"/>
      <c r="H108" s="36" t="e">
        <f ca="1">IF(OR(ISBLANK(タスク_開始),ISBLANK(タスク_終了)),"",タスク_終了-タスク_開始+1)</f>
        <v>#VALUE!</v>
      </c>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row>
    <row r="109" outlineLevel="1" hidden="1" spans="1:64" s="37" customFormat="1" ht="30" customHeight="1">
      <c r="A109" s="20"/>
      <c r="B109" s="67" t="str">
        <f>'2026'!B109</f>
        <v>4-16.○○テーブル（T_xxxx)</v>
      </c>
      <c r="C109" s="68" t="str">
        <f>'2026'!C109</f>
        <v xml:space="preserve"> </v>
      </c>
      <c r="D109" s="69" t="str">
        <f>'2026'!D109</f>
        <v xml:space="preserve"> </v>
      </c>
      <c r="E109" s="70" t="str">
        <f>'2026'!E109</f>
        <v xml:space="preserve"> </v>
      </c>
      <c r="F109" s="70" t="str">
        <f>'2026'!F109</f>
        <v xml:space="preserve"> </v>
      </c>
      <c r="G109" s="36"/>
      <c r="H109" s="36" t="e">
        <f ca="1">IF(OR(ISBLANK(タスク_開始),ISBLANK(タスク_終了)),"",タスク_終了-タスク_開始+1)</f>
        <v>#VALUE!</v>
      </c>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row>
    <row r="110" outlineLevel="1" hidden="1" spans="1:64" s="37" customFormat="1" ht="30" customHeight="1">
      <c r="A110" s="20"/>
      <c r="B110" s="67" t="str">
        <f>'2026'!B110</f>
        <v>4-17.○○テーブル（T_xxxx)</v>
      </c>
      <c r="C110" s="68" t="str">
        <f>'2026'!C110</f>
        <v xml:space="preserve"> </v>
      </c>
      <c r="D110" s="69" t="str">
        <f>'2026'!D110</f>
        <v xml:space="preserve"> </v>
      </c>
      <c r="E110" s="70" t="str">
        <f>'2026'!E110</f>
        <v xml:space="preserve"> </v>
      </c>
      <c r="F110" s="70" t="str">
        <f>'2026'!F110</f>
        <v xml:space="preserve"> </v>
      </c>
      <c r="G110" s="36"/>
      <c r="H110" s="36" t="e">
        <f ca="1">IF(OR(ISBLANK(タスク_開始),ISBLANK(タスク_終了)),"",タスク_終了-タスク_開始+1)</f>
        <v>#VALUE!</v>
      </c>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row>
    <row r="111" outlineLevel="1" hidden="1" spans="1:64" s="37" customFormat="1" ht="30" customHeight="1">
      <c r="A111" s="20"/>
      <c r="B111" s="67" t="str">
        <f>'2026'!B111</f>
        <v>4-18.○○テーブル（T_xxxx)</v>
      </c>
      <c r="C111" s="68" t="str">
        <f>'2026'!C111</f>
        <v xml:space="preserve"> </v>
      </c>
      <c r="D111" s="69" t="str">
        <f>'2026'!D111</f>
        <v xml:space="preserve"> </v>
      </c>
      <c r="E111" s="70" t="str">
        <f>'2026'!E111</f>
        <v xml:space="preserve"> </v>
      </c>
      <c r="F111" s="70" t="str">
        <f>'2026'!F111</f>
        <v xml:space="preserve"> </v>
      </c>
      <c r="G111" s="36"/>
      <c r="H111" s="36" t="e">
        <f ca="1">IF(OR(ISBLANK(タスク_開始),ISBLANK(タスク_終了)),"",タスク_終了-タスク_開始+1)</f>
        <v>#VALUE!</v>
      </c>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row>
    <row r="112" outlineLevel="1" hidden="1" spans="1:64" s="37" customFormat="1" ht="30" customHeight="1">
      <c r="A112" s="20"/>
      <c r="B112" s="67" t="str">
        <f>'2026'!B112</f>
        <v>4-19.○○テーブル（T_xxxx)</v>
      </c>
      <c r="C112" s="68" t="str">
        <f>'2026'!C112</f>
        <v xml:space="preserve"> </v>
      </c>
      <c r="D112" s="69" t="str">
        <f>'2026'!D112</f>
        <v xml:space="preserve"> </v>
      </c>
      <c r="E112" s="70" t="str">
        <f>'2026'!E112</f>
        <v xml:space="preserve"> </v>
      </c>
      <c r="F112" s="70" t="str">
        <f>'2026'!F112</f>
        <v xml:space="preserve"> </v>
      </c>
      <c r="G112" s="36"/>
      <c r="H112" s="36" t="e">
        <f ca="1">IF(OR(ISBLANK(タスク_開始),ISBLANK(タスク_終了)),"",タスク_終了-タスク_開始+1)</f>
        <v>#VALUE!</v>
      </c>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row>
    <row r="113" outlineLevel="1" hidden="1" spans="1:64" s="37" customFormat="1" ht="30" customHeight="1">
      <c r="A113" s="20"/>
      <c r="B113" s="67" t="str">
        <f>'2026'!B113</f>
        <v>4-20.○○テーブル（T_xxxx)</v>
      </c>
      <c r="C113" s="68" t="str">
        <f>'2026'!C113</f>
        <v xml:space="preserve"> </v>
      </c>
      <c r="D113" s="69" t="str">
        <f>'2026'!D113</f>
        <v xml:space="preserve"> </v>
      </c>
      <c r="E113" s="70" t="str">
        <f>'2026'!E113</f>
        <v xml:space="preserve"> </v>
      </c>
      <c r="F113" s="70" t="str">
        <f>'2026'!F113</f>
        <v xml:space="preserve"> </v>
      </c>
      <c r="G113" s="36"/>
      <c r="H113" s="36" t="e">
        <f ca="1">IF(OR(ISBLANK(タスク_開始),ISBLANK(タスク_終了)),"",タスク_終了-タスク_開始+1)</f>
        <v>#VALUE!</v>
      </c>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row>
    <row r="114" outlineLevel="1" hidden="1" spans="1:64" s="37" customFormat="1" ht="30" customHeight="1">
      <c r="A114" s="20"/>
      <c r="B114" s="67" t="str">
        <f>'2026'!B114</f>
        <v>4-21.○○テーブル（T_xxxx)</v>
      </c>
      <c r="C114" s="68" t="str">
        <f>'2026'!C114</f>
        <v xml:space="preserve"> </v>
      </c>
      <c r="D114" s="69" t="str">
        <f>'2026'!D114</f>
        <v xml:space="preserve"> </v>
      </c>
      <c r="E114" s="70" t="str">
        <f>'2026'!E114</f>
        <v xml:space="preserve"> </v>
      </c>
      <c r="F114" s="70" t="str">
        <f>'2026'!F114</f>
        <v xml:space="preserve"> </v>
      </c>
      <c r="G114" s="36"/>
      <c r="H114" s="36" t="e">
        <f ca="1">IF(OR(ISBLANK(タスク_開始),ISBLANK(タスク_終了)),"",タスク_終了-タスク_開始+1)</f>
        <v>#VALUE!</v>
      </c>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row>
    <row r="115" outlineLevel="1" hidden="1" spans="1:64" s="37" customFormat="1" ht="30" customHeight="1">
      <c r="A115" s="20"/>
      <c r="B115" s="67" t="str">
        <f>'2026'!B115</f>
        <v>4-22.○○テーブル（T_xxxx)</v>
      </c>
      <c r="C115" s="68" t="str">
        <f>'2026'!C115</f>
        <v xml:space="preserve"> </v>
      </c>
      <c r="D115" s="69" t="str">
        <f>'2026'!D115</f>
        <v xml:space="preserve"> </v>
      </c>
      <c r="E115" s="70" t="str">
        <f>'2026'!E115</f>
        <v xml:space="preserve"> </v>
      </c>
      <c r="F115" s="70" t="str">
        <f>'2026'!F115</f>
        <v xml:space="preserve"> </v>
      </c>
      <c r="G115" s="36"/>
      <c r="H115" s="36" t="e">
        <f ca="1">IF(OR(ISBLANK(タスク_開始),ISBLANK(タスク_終了)),"",タスク_終了-タスク_開始+1)</f>
        <v>#VALUE!</v>
      </c>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row>
    <row r="116" outlineLevel="1" hidden="1" spans="1:64" s="37" customFormat="1" ht="30" customHeight="1">
      <c r="A116" s="20"/>
      <c r="B116" s="67" t="str">
        <f>'2026'!B116</f>
        <v>4-23.○○テーブル（T_xxxx)</v>
      </c>
      <c r="C116" s="68" t="str">
        <f>'2026'!C116</f>
        <v xml:space="preserve"> </v>
      </c>
      <c r="D116" s="69" t="str">
        <f>'2026'!D116</f>
        <v xml:space="preserve"> </v>
      </c>
      <c r="E116" s="70" t="str">
        <f>'2026'!E116</f>
        <v xml:space="preserve"> </v>
      </c>
      <c r="F116" s="70" t="str">
        <f>'2026'!F116</f>
        <v xml:space="preserve"> </v>
      </c>
      <c r="G116" s="36"/>
      <c r="H116" s="36" t="e">
        <f ca="1">IF(OR(ISBLANK(タスク_開始),ISBLANK(タスク_終了)),"",タスク_終了-タスク_開始+1)</f>
        <v>#VALUE!</v>
      </c>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row>
    <row r="117" outlineLevel="1" hidden="1" spans="1:64" s="37" customFormat="1" ht="30" customHeight="1">
      <c r="A117" s="20"/>
      <c r="B117" s="67" t="str">
        <f>'2026'!B117</f>
        <v>4-24.○○テーブル（T_xxxx)</v>
      </c>
      <c r="C117" s="68" t="str">
        <f>'2026'!C117</f>
        <v xml:space="preserve"> </v>
      </c>
      <c r="D117" s="69" t="str">
        <f>'2026'!D117</f>
        <v xml:space="preserve"> </v>
      </c>
      <c r="E117" s="70" t="str">
        <f>'2026'!E117</f>
        <v xml:space="preserve"> </v>
      </c>
      <c r="F117" s="70" t="str">
        <f>'2026'!F117</f>
        <v xml:space="preserve"> </v>
      </c>
      <c r="G117" s="36"/>
      <c r="H117" s="36" t="e">
        <f ca="1">IF(OR(ISBLANK(タスク_開始),ISBLANK(タスク_終了)),"",タスク_終了-タスク_開始+1)</f>
        <v>#VALUE!</v>
      </c>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row>
    <row r="118" outlineLevel="1" hidden="1" spans="1:64" s="37" customFormat="1" ht="30" customHeight="1">
      <c r="A118" s="20"/>
      <c r="B118" s="67" t="str">
        <f>'2026'!B118</f>
        <v>4-25.○○テーブル（T_xxxx)</v>
      </c>
      <c r="C118" s="68" t="str">
        <f>'2026'!C118</f>
        <v xml:space="preserve"> </v>
      </c>
      <c r="D118" s="69" t="str">
        <f>'2026'!D118</f>
        <v xml:space="preserve"> </v>
      </c>
      <c r="E118" s="70" t="str">
        <f>'2026'!E118</f>
        <v xml:space="preserve"> </v>
      </c>
      <c r="F118" s="70" t="str">
        <f>'2026'!F118</f>
        <v xml:space="preserve"> </v>
      </c>
      <c r="G118" s="36"/>
      <c r="H118" s="36" t="e">
        <f ca="1">IF(OR(ISBLANK(タスク_開始),ISBLANK(タスク_終了)),"",タスク_終了-タスク_開始+1)</f>
        <v>#VALUE!</v>
      </c>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row>
    <row r="119" outlineLevel="1" hidden="1" spans="1:64" s="37" customFormat="1" ht="30" customHeight="1">
      <c r="A119" s="20"/>
      <c r="B119" s="67" t="str">
        <f>'2026'!B119</f>
        <v>4-26.○○テーブル（T_xxxx)</v>
      </c>
      <c r="C119" s="68" t="str">
        <f>'2026'!C119</f>
        <v xml:space="preserve"> </v>
      </c>
      <c r="D119" s="69" t="str">
        <f>'2026'!D119</f>
        <v xml:space="preserve"> </v>
      </c>
      <c r="E119" s="70" t="str">
        <f>'2026'!E119</f>
        <v xml:space="preserve"> </v>
      </c>
      <c r="F119" s="70" t="str">
        <f>'2026'!F119</f>
        <v xml:space="preserve"> </v>
      </c>
      <c r="G119" s="36"/>
      <c r="H119" s="36" t="e">
        <f ca="1">IF(OR(ISBLANK(タスク_開始),ISBLANK(タスク_終了)),"",タスク_終了-タスク_開始+1)</f>
        <v>#VALUE!</v>
      </c>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row>
    <row r="120" outlineLevel="1" hidden="1" spans="1:64" s="37" customFormat="1" ht="30" customHeight="1">
      <c r="A120" s="20"/>
      <c r="B120" s="67" t="str">
        <f>'2026'!B120</f>
        <v>4-27.○○テーブル（T_xxxx)</v>
      </c>
      <c r="C120" s="68" t="str">
        <f>'2026'!C120</f>
        <v xml:space="preserve"> </v>
      </c>
      <c r="D120" s="69" t="str">
        <f>'2026'!D120</f>
        <v xml:space="preserve"> </v>
      </c>
      <c r="E120" s="70" t="str">
        <f>'2026'!E120</f>
        <v xml:space="preserve"> </v>
      </c>
      <c r="F120" s="70" t="str">
        <f>'2026'!F120</f>
        <v xml:space="preserve"> </v>
      </c>
      <c r="G120" s="36"/>
      <c r="H120" s="36" t="e">
        <f ca="1">IF(OR(ISBLANK(タスク_開始),ISBLANK(タスク_終了)),"",タスク_終了-タスク_開始+1)</f>
        <v>#VALUE!</v>
      </c>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row>
    <row r="121" outlineLevel="1" hidden="1" spans="1:64" s="37" customFormat="1" ht="30" customHeight="1">
      <c r="A121" s="20"/>
      <c r="B121" s="67" t="str">
        <f>'2026'!B121</f>
        <v>4-28.○○テーブル（T_xxxx)</v>
      </c>
      <c r="C121" s="68" t="str">
        <f>'2026'!C121</f>
        <v xml:space="preserve"> </v>
      </c>
      <c r="D121" s="69" t="str">
        <f>'2026'!D121</f>
        <v xml:space="preserve"> </v>
      </c>
      <c r="E121" s="70" t="str">
        <f>'2026'!E121</f>
        <v xml:space="preserve"> </v>
      </c>
      <c r="F121" s="70" t="str">
        <f>'2026'!F121</f>
        <v xml:space="preserve"> </v>
      </c>
      <c r="G121" s="36"/>
      <c r="H121" s="36" t="e">
        <f ca="1">IF(OR(ISBLANK(タスク_開始),ISBLANK(タスク_終了)),"",タスク_終了-タスク_開始+1)</f>
        <v>#VALUE!</v>
      </c>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row>
    <row r="122" outlineLevel="1" hidden="1" spans="1:64" s="37" customFormat="1" ht="30" customHeight="1">
      <c r="A122" s="20"/>
      <c r="B122" s="67" t="str">
        <f>'2026'!B122</f>
        <v>4-29.○○テーブル（T_xxxx)</v>
      </c>
      <c r="C122" s="68" t="str">
        <f>'2026'!C122</f>
        <v xml:space="preserve"> </v>
      </c>
      <c r="D122" s="69" t="str">
        <f>'2026'!D122</f>
        <v xml:space="preserve"> </v>
      </c>
      <c r="E122" s="70" t="str">
        <f>'2026'!E122</f>
        <v xml:space="preserve"> </v>
      </c>
      <c r="F122" s="70" t="str">
        <f>'2026'!F122</f>
        <v xml:space="preserve"> </v>
      </c>
      <c r="G122" s="36"/>
      <c r="H122" s="36" t="e">
        <f ca="1">IF(OR(ISBLANK(タスク_開始),ISBLANK(タスク_終了)),"",タスク_終了-タスク_開始+1)</f>
        <v>#VALUE!</v>
      </c>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row>
    <row r="123" outlineLevel="1" hidden="1" spans="1:64" s="37" customFormat="1" ht="30" customHeight="1">
      <c r="A123" s="20"/>
      <c r="B123" s="67" t="str">
        <f>'2026'!B123</f>
        <v>4-30.○○テーブル（T_xxxx)</v>
      </c>
      <c r="C123" s="68" t="str">
        <f>'2026'!C123</f>
        <v xml:space="preserve"> </v>
      </c>
      <c r="D123" s="69" t="str">
        <f>'2026'!D123</f>
        <v xml:space="preserve"> </v>
      </c>
      <c r="E123" s="70" t="str">
        <f>'2026'!E123</f>
        <v xml:space="preserve"> </v>
      </c>
      <c r="F123" s="70" t="str">
        <f>'2026'!F123</f>
        <v xml:space="preserve"> </v>
      </c>
      <c r="G123" s="36"/>
      <c r="H123" s="36" t="e">
        <f ca="1">IF(OR(ISBLANK(タスク_開始),ISBLANK(タスク_終了)),"",タスク_終了-タスク_開始+1)</f>
        <v>#VALUE!</v>
      </c>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row>
    <row r="124" outlineLevel="1" hidden="1" spans="1:64" s="37" customFormat="1" ht="30" customHeight="1">
      <c r="A124" s="20"/>
      <c r="B124" s="67" t="str">
        <f>'2026'!B124</f>
        <v>4-31.○○テーブル（T_xxxx)</v>
      </c>
      <c r="C124" s="68" t="str">
        <f>'2026'!C124</f>
        <v xml:space="preserve"> </v>
      </c>
      <c r="D124" s="69" t="str">
        <f>'2026'!D124</f>
        <v xml:space="preserve"> </v>
      </c>
      <c r="E124" s="70" t="str">
        <f>'2026'!E124</f>
        <v xml:space="preserve"> </v>
      </c>
      <c r="F124" s="70" t="str">
        <f>'2026'!F124</f>
        <v xml:space="preserve"> </v>
      </c>
      <c r="G124" s="36"/>
      <c r="H124" s="36" t="e">
        <f ca="1">IF(OR(ISBLANK(タスク_開始),ISBLANK(タスク_終了)),"",タスク_終了-タスク_開始+1)</f>
        <v>#VALUE!</v>
      </c>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row>
    <row r="125" outlineLevel="1" hidden="1" spans="1:64" s="37" customFormat="1" ht="30" customHeight="1">
      <c r="A125" s="20"/>
      <c r="B125" s="67" t="str">
        <f>'2026'!B125</f>
        <v>4-32.○○テーブル（T_xxxx)</v>
      </c>
      <c r="C125" s="68" t="str">
        <f>'2026'!C125</f>
        <v xml:space="preserve"> </v>
      </c>
      <c r="D125" s="69" t="str">
        <f>'2026'!D125</f>
        <v xml:space="preserve"> </v>
      </c>
      <c r="E125" s="70" t="str">
        <f>'2026'!E125</f>
        <v xml:space="preserve"> </v>
      </c>
      <c r="F125" s="70" t="str">
        <f>'2026'!F125</f>
        <v xml:space="preserve"> </v>
      </c>
      <c r="G125" s="36"/>
      <c r="H125" s="36" t="e">
        <f ca="1">IF(OR(ISBLANK(タスク_開始),ISBLANK(タスク_終了)),"",タスク_終了-タスク_開始+1)</f>
        <v>#VALUE!</v>
      </c>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row>
    <row r="126" outlineLevel="1" hidden="1" spans="1:64" s="37" customFormat="1" ht="30" customHeight="1">
      <c r="A126" s="20"/>
      <c r="B126" s="67" t="str">
        <f>'2026'!B126</f>
        <v>4-33.○○テーブル（T_xxxx)</v>
      </c>
      <c r="C126" s="68" t="str">
        <f>'2026'!C126</f>
        <v xml:space="preserve"> </v>
      </c>
      <c r="D126" s="69" t="str">
        <f>'2026'!D126</f>
        <v xml:space="preserve"> </v>
      </c>
      <c r="E126" s="70" t="str">
        <f>'2026'!E126</f>
        <v xml:space="preserve"> </v>
      </c>
      <c r="F126" s="70" t="str">
        <f>'2026'!F126</f>
        <v xml:space="preserve"> </v>
      </c>
      <c r="G126" s="36"/>
      <c r="H126" s="36" t="e">
        <f ca="1">IF(OR(ISBLANK(タスク_開始),ISBLANK(タスク_終了)),"",タスク_終了-タスク_開始+1)</f>
        <v>#VALUE!</v>
      </c>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row>
    <row r="127" outlineLevel="1" hidden="1" spans="1:64" s="37" customFormat="1" ht="30" customHeight="1">
      <c r="A127" s="20"/>
      <c r="B127" s="67" t="str">
        <f>'2026'!B127</f>
        <v>4-34.○○テーブル（T_xxxx)</v>
      </c>
      <c r="C127" s="68" t="str">
        <f>'2026'!C127</f>
        <v xml:space="preserve"> </v>
      </c>
      <c r="D127" s="69" t="str">
        <f>'2026'!D127</f>
        <v xml:space="preserve"> </v>
      </c>
      <c r="E127" s="70" t="str">
        <f>'2026'!E127</f>
        <v xml:space="preserve"> </v>
      </c>
      <c r="F127" s="70" t="str">
        <f>'2026'!F127</f>
        <v xml:space="preserve"> </v>
      </c>
      <c r="G127" s="36"/>
      <c r="H127" s="36" t="e">
        <f ca="1">IF(OR(ISBLANK(タスク_開始),ISBLANK(タスク_終了)),"",タスク_終了-タスク_開始+1)</f>
        <v>#VALUE!</v>
      </c>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row>
    <row r="128" outlineLevel="1" hidden="1" spans="1:64" s="37" customFormat="1" ht="30" customHeight="1">
      <c r="A128" s="20"/>
      <c r="B128" s="67" t="str">
        <f>'2026'!B128</f>
        <v>4-35.○○テーブル（T_xxxx)</v>
      </c>
      <c r="C128" s="68" t="str">
        <f>'2026'!C128</f>
        <v xml:space="preserve"> </v>
      </c>
      <c r="D128" s="69" t="str">
        <f>'2026'!D128</f>
        <v xml:space="preserve"> </v>
      </c>
      <c r="E128" s="70" t="str">
        <f>'2026'!E128</f>
        <v xml:space="preserve"> </v>
      </c>
      <c r="F128" s="70" t="str">
        <f>'2026'!F128</f>
        <v xml:space="preserve"> </v>
      </c>
      <c r="G128" s="36"/>
      <c r="H128" s="36" t="e">
        <f ca="1">IF(OR(ISBLANK(タスク_開始),ISBLANK(タスク_終了)),"",タスク_終了-タスク_開始+1)</f>
        <v>#VALUE!</v>
      </c>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row>
    <row r="129" outlineLevel="1" hidden="1" spans="1:64" s="37" customFormat="1" ht="30" customHeight="1">
      <c r="A129" s="20"/>
      <c r="B129" s="67" t="str">
        <f>'2026'!B129</f>
        <v>4-36.○○テーブル（T_xxxx)</v>
      </c>
      <c r="C129" s="68" t="str">
        <f>'2026'!C129</f>
        <v xml:space="preserve"> </v>
      </c>
      <c r="D129" s="69" t="str">
        <f>'2026'!D129</f>
        <v xml:space="preserve"> </v>
      </c>
      <c r="E129" s="70" t="str">
        <f>'2026'!E129</f>
        <v xml:space="preserve"> </v>
      </c>
      <c r="F129" s="70" t="str">
        <f>'2026'!F129</f>
        <v xml:space="preserve"> </v>
      </c>
      <c r="G129" s="36"/>
      <c r="H129" s="36" t="e">
        <f ca="1">IF(OR(ISBLANK(タスク_開始),ISBLANK(タスク_終了)),"",タスク_終了-タスク_開始+1)</f>
        <v>#VALUE!</v>
      </c>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row>
    <row r="130" outlineLevel="1" hidden="1" spans="1:64" s="37" customFormat="1" ht="30" customHeight="1">
      <c r="A130" s="20"/>
      <c r="B130" s="67" t="str">
        <f>'2026'!B130</f>
        <v>4-37.○○テーブル（T_xxxx)</v>
      </c>
      <c r="C130" s="68" t="str">
        <f>'2026'!C130</f>
        <v xml:space="preserve"> </v>
      </c>
      <c r="D130" s="69" t="str">
        <f>'2026'!D130</f>
        <v xml:space="preserve"> </v>
      </c>
      <c r="E130" s="70" t="str">
        <f>'2026'!E130</f>
        <v xml:space="preserve"> </v>
      </c>
      <c r="F130" s="70" t="str">
        <f>'2026'!F130</f>
        <v xml:space="preserve"> </v>
      </c>
      <c r="G130" s="36"/>
      <c r="H130" s="36" t="e">
        <f ca="1">IF(OR(ISBLANK(タスク_開始),ISBLANK(タスク_終了)),"",タスク_終了-タスク_開始+1)</f>
        <v>#VALUE!</v>
      </c>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row>
    <row r="131" outlineLevel="1" hidden="1" spans="1:64" s="37" customFormat="1" ht="30" customHeight="1">
      <c r="A131" s="20"/>
      <c r="B131" s="67" t="str">
        <f>'2026'!B131</f>
        <v>4-38.○○テーブル（T_xxxx)</v>
      </c>
      <c r="C131" s="68" t="str">
        <f>'2026'!C131</f>
        <v xml:space="preserve"> </v>
      </c>
      <c r="D131" s="69" t="str">
        <f>'2026'!D131</f>
        <v xml:space="preserve"> </v>
      </c>
      <c r="E131" s="70" t="str">
        <f>'2026'!E131</f>
        <v xml:space="preserve"> </v>
      </c>
      <c r="F131" s="70" t="str">
        <f>'2026'!F131</f>
        <v xml:space="preserve"> </v>
      </c>
      <c r="G131" s="36"/>
      <c r="H131" s="36" t="e">
        <f ca="1">IF(OR(ISBLANK(タスク_開始),ISBLANK(タスク_終了)),"",タスク_終了-タスク_開始+1)</f>
        <v>#VALUE!</v>
      </c>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row>
    <row r="132" outlineLevel="1" hidden="1" spans="1:64" s="37" customFormat="1" ht="30" customHeight="1">
      <c r="A132" s="20"/>
      <c r="B132" s="67" t="str">
        <f>'2026'!B132</f>
        <v>4-39.○○テーブル（T_xxxx)</v>
      </c>
      <c r="C132" s="68" t="str">
        <f>'2026'!C132</f>
        <v xml:space="preserve"> </v>
      </c>
      <c r="D132" s="69" t="str">
        <f>'2026'!D132</f>
        <v xml:space="preserve"> </v>
      </c>
      <c r="E132" s="70" t="str">
        <f>'2026'!E132</f>
        <v xml:space="preserve"> </v>
      </c>
      <c r="F132" s="70" t="str">
        <f>'2026'!F132</f>
        <v xml:space="preserve"> </v>
      </c>
      <c r="G132" s="36"/>
      <c r="H132" s="36" t="e">
        <f ca="1">IF(OR(ISBLANK(タスク_開始),ISBLANK(タスク_終了)),"",タスク_終了-タスク_開始+1)</f>
        <v>#VALUE!</v>
      </c>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row>
    <row r="133" outlineLevel="1" hidden="1" spans="1:64" s="37" customFormat="1" ht="30" customHeight="1">
      <c r="A133" s="20"/>
      <c r="B133" s="67" t="str">
        <f>'2026'!B133</f>
        <v>4-40.○○テーブル（T_xxxx)</v>
      </c>
      <c r="C133" s="68" t="str">
        <f>'2026'!C133</f>
        <v xml:space="preserve"> </v>
      </c>
      <c r="D133" s="69" t="str">
        <f>'2026'!D133</f>
        <v xml:space="preserve"> </v>
      </c>
      <c r="E133" s="70" t="str">
        <f>'2026'!E133</f>
        <v xml:space="preserve"> </v>
      </c>
      <c r="F133" s="70" t="str">
        <f>'2026'!F133</f>
        <v xml:space="preserve"> </v>
      </c>
      <c r="G133" s="36"/>
      <c r="H133" s="36" t="e">
        <f ca="1">IF(OR(ISBLANK(タスク_開始),ISBLANK(タスク_終了)),"",タスク_終了-タスク_開始+1)</f>
        <v>#VALUE!</v>
      </c>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row>
    <row r="134" outlineLevel="1" hidden="1" spans="1:64" s="37" customFormat="1" ht="30" customHeight="1">
      <c r="A134" s="20"/>
      <c r="B134" s="67" t="str">
        <f>'2026'!B134</f>
        <v>4-41.○○テーブル（T_xxxx)</v>
      </c>
      <c r="C134" s="68" t="str">
        <f>'2026'!C134</f>
        <v xml:space="preserve"> </v>
      </c>
      <c r="D134" s="69" t="str">
        <f>'2026'!D134</f>
        <v xml:space="preserve"> </v>
      </c>
      <c r="E134" s="70" t="str">
        <f>'2026'!E134</f>
        <v xml:space="preserve"> </v>
      </c>
      <c r="F134" s="70" t="str">
        <f>'2026'!F134</f>
        <v xml:space="preserve"> </v>
      </c>
      <c r="G134" s="36"/>
      <c r="H134" s="36" t="e">
        <f ca="1">IF(OR(ISBLANK(タスク_開始),ISBLANK(タスク_終了)),"",タスク_終了-タスク_開始+1)</f>
        <v>#VALUE!</v>
      </c>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row>
    <row r="135" outlineLevel="1" hidden="1" spans="1:64" s="37" customFormat="1" ht="30" customHeight="1">
      <c r="A135" s="20"/>
      <c r="B135" s="67" t="str">
        <f>'2026'!B135</f>
        <v>4-42.○○テーブル（T_xxxx)</v>
      </c>
      <c r="C135" s="68" t="str">
        <f>'2026'!C135</f>
        <v xml:space="preserve"> </v>
      </c>
      <c r="D135" s="69" t="str">
        <f>'2026'!D135</f>
        <v xml:space="preserve"> </v>
      </c>
      <c r="E135" s="70" t="str">
        <f>'2026'!E135</f>
        <v xml:space="preserve"> </v>
      </c>
      <c r="F135" s="70" t="str">
        <f>'2026'!F135</f>
        <v xml:space="preserve"> </v>
      </c>
      <c r="G135" s="36"/>
      <c r="H135" s="36" t="e">
        <f ca="1">IF(OR(ISBLANK(タスク_開始),ISBLANK(タスク_終了)),"",タスク_終了-タスク_開始+1)</f>
        <v>#VALUE!</v>
      </c>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row>
    <row r="136" outlineLevel="1" hidden="1" spans="1:64" s="37" customFormat="1" ht="30" customHeight="1">
      <c r="A136" s="20"/>
      <c r="B136" s="67" t="str">
        <f>'2026'!B136</f>
        <v>4-43.○○テーブル（T_xxxx)</v>
      </c>
      <c r="C136" s="68" t="str">
        <f>'2026'!C136</f>
        <v xml:space="preserve"> </v>
      </c>
      <c r="D136" s="69" t="str">
        <f>'2026'!D136</f>
        <v xml:space="preserve"> </v>
      </c>
      <c r="E136" s="70" t="str">
        <f>'2026'!E136</f>
        <v xml:space="preserve"> </v>
      </c>
      <c r="F136" s="70" t="str">
        <f>'2026'!F136</f>
        <v xml:space="preserve"> </v>
      </c>
      <c r="G136" s="36"/>
      <c r="H136" s="36" t="e">
        <f ca="1">IF(OR(ISBLANK(タスク_開始),ISBLANK(タスク_終了)),"",タスク_終了-タスク_開始+1)</f>
        <v>#VALUE!</v>
      </c>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row>
    <row r="137" outlineLevel="1" hidden="1" spans="1:64" s="37" customFormat="1" ht="30" customHeight="1">
      <c r="A137" s="20"/>
      <c r="B137" s="67" t="str">
        <f>'2026'!B137</f>
        <v>4-44.○○テーブル（T_xxxx)</v>
      </c>
      <c r="C137" s="68" t="str">
        <f>'2026'!C137</f>
        <v xml:space="preserve"> </v>
      </c>
      <c r="D137" s="69" t="str">
        <f>'2026'!D137</f>
        <v xml:space="preserve"> </v>
      </c>
      <c r="E137" s="70" t="str">
        <f>'2026'!E137</f>
        <v xml:space="preserve"> </v>
      </c>
      <c r="F137" s="70" t="str">
        <f>'2026'!F137</f>
        <v xml:space="preserve"> </v>
      </c>
      <c r="G137" s="36"/>
      <c r="H137" s="36" t="e">
        <f ca="1">IF(OR(ISBLANK(タスク_開始),ISBLANK(タスク_終了)),"",タスク_終了-タスク_開始+1)</f>
        <v>#VALUE!</v>
      </c>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row>
    <row r="138" outlineLevel="1" hidden="1" spans="1:64" s="37" customFormat="1" ht="30" customHeight="1">
      <c r="A138" s="20"/>
      <c r="B138" s="67" t="str">
        <f>'2026'!B138</f>
        <v>4-45.○○テーブル（T_xxxx)</v>
      </c>
      <c r="C138" s="68" t="str">
        <f>'2026'!C138</f>
        <v xml:space="preserve"> </v>
      </c>
      <c r="D138" s="69" t="str">
        <f>'2026'!D138</f>
        <v xml:space="preserve"> </v>
      </c>
      <c r="E138" s="70" t="str">
        <f>'2026'!E138</f>
        <v xml:space="preserve"> </v>
      </c>
      <c r="F138" s="70" t="str">
        <f>'2026'!F138</f>
        <v xml:space="preserve"> </v>
      </c>
      <c r="G138" s="36"/>
      <c r="H138" s="36" t="e">
        <f ca="1">IF(OR(ISBLANK(タスク_開始),ISBLANK(タスク_終了)),"",タスク_終了-タスク_開始+1)</f>
        <v>#VALUE!</v>
      </c>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row>
    <row r="139" outlineLevel="1" hidden="1" spans="1:64" s="37" customFormat="1" ht="30" customHeight="1">
      <c r="A139" s="20"/>
      <c r="B139" s="67" t="str">
        <f>'2026'!B139</f>
        <v>4-46.○○テーブル（T_xxxx)</v>
      </c>
      <c r="C139" s="68" t="str">
        <f>'2026'!C139</f>
        <v xml:space="preserve"> </v>
      </c>
      <c r="D139" s="69" t="str">
        <f>'2026'!D139</f>
        <v xml:space="preserve"> </v>
      </c>
      <c r="E139" s="70" t="str">
        <f>'2026'!E139</f>
        <v xml:space="preserve"> </v>
      </c>
      <c r="F139" s="70" t="str">
        <f>'2026'!F139</f>
        <v xml:space="preserve"> </v>
      </c>
      <c r="G139" s="36"/>
      <c r="H139" s="36" t="e">
        <f ca="1">IF(OR(ISBLANK(タスク_開始),ISBLANK(タスク_終了)),"",タスク_終了-タスク_開始+1)</f>
        <v>#VALUE!</v>
      </c>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row>
    <row r="140" outlineLevel="1" hidden="1" spans="1:64" s="37" customFormat="1" ht="30" customHeight="1">
      <c r="A140" s="20"/>
      <c r="B140" s="67" t="str">
        <f>'2026'!B140</f>
        <v>4-47.○○テーブル（T_xxxx)</v>
      </c>
      <c r="C140" s="68" t="str">
        <f>'2026'!C140</f>
        <v xml:space="preserve"> </v>
      </c>
      <c r="D140" s="69" t="str">
        <f>'2026'!D140</f>
        <v xml:space="preserve"> </v>
      </c>
      <c r="E140" s="70" t="str">
        <f>'2026'!E140</f>
        <v xml:space="preserve"> </v>
      </c>
      <c r="F140" s="70" t="str">
        <f>'2026'!F140</f>
        <v xml:space="preserve"> </v>
      </c>
      <c r="G140" s="36"/>
      <c r="H140" s="36" t="e">
        <f ca="1">IF(OR(ISBLANK(タスク_開始),ISBLANK(タスク_終了)),"",タスク_終了-タスク_開始+1)</f>
        <v>#VALUE!</v>
      </c>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row>
    <row r="141" outlineLevel="1" hidden="1" spans="1:64" s="37" customFormat="1" ht="30" customHeight="1">
      <c r="A141" s="20"/>
      <c r="B141" s="67" t="str">
        <f>'2026'!B141</f>
        <v>4-48.○○テーブル（T_xxxx)</v>
      </c>
      <c r="C141" s="68" t="str">
        <f>'2026'!C141</f>
        <v xml:space="preserve"> </v>
      </c>
      <c r="D141" s="69" t="str">
        <f>'2026'!D141</f>
        <v xml:space="preserve"> </v>
      </c>
      <c r="E141" s="70" t="str">
        <f>'2026'!E141</f>
        <v xml:space="preserve"> </v>
      </c>
      <c r="F141" s="70" t="str">
        <f>'2026'!F141</f>
        <v xml:space="preserve"> </v>
      </c>
      <c r="G141" s="36"/>
      <c r="H141" s="36" t="e">
        <f ca="1">IF(OR(ISBLANK(タスク_開始),ISBLANK(タスク_終了)),"",タスク_終了-タスク_開始+1)</f>
        <v>#VALUE!</v>
      </c>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row>
    <row r="142" outlineLevel="1" hidden="1" spans="1:64" s="37" customFormat="1" ht="30" customHeight="1">
      <c r="A142" s="20"/>
      <c r="B142" s="67" t="str">
        <f>'2026'!B142</f>
        <v>4-49.○○テーブル（T_xxxx)</v>
      </c>
      <c r="C142" s="68" t="str">
        <f>'2026'!C142</f>
        <v xml:space="preserve"> </v>
      </c>
      <c r="D142" s="69" t="str">
        <f>'2026'!D142</f>
        <v xml:space="preserve"> </v>
      </c>
      <c r="E142" s="70" t="str">
        <f>'2026'!E142</f>
        <v xml:space="preserve"> </v>
      </c>
      <c r="F142" s="70" t="str">
        <f>'2026'!F142</f>
        <v xml:space="preserve"> </v>
      </c>
      <c r="G142" s="36"/>
      <c r="H142" s="36" t="e">
        <f ca="1">IF(OR(ISBLANK(タスク_開始),ISBLANK(タスク_終了)),"",タスク_終了-タスク_開始+1)</f>
        <v>#VALUE!</v>
      </c>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row>
    <row r="143" outlineLevel="1" hidden="1" spans="1:64" s="37" customFormat="1" ht="30" customHeight="1">
      <c r="A143" s="20"/>
      <c r="B143" s="67" t="str">
        <f>'2026'!B143</f>
        <v>4-50.○○テーブル（T_xxxx)</v>
      </c>
      <c r="C143" s="68" t="str">
        <f>'2026'!C143</f>
        <v xml:space="preserve"> </v>
      </c>
      <c r="D143" s="69" t="str">
        <f>'2026'!D143</f>
        <v xml:space="preserve"> </v>
      </c>
      <c r="E143" s="70" t="str">
        <f>'2026'!E143</f>
        <v xml:space="preserve"> </v>
      </c>
      <c r="F143" s="70" t="str">
        <f>'2026'!F143</f>
        <v xml:space="preserve"> </v>
      </c>
      <c r="G143" s="36"/>
      <c r="H143" s="36" t="e">
        <f ca="1">IF(OR(ISBLANK(タスク_開始),ISBLANK(タスク_終了)),"",タスク_終了-タスク_開始+1)</f>
        <v>#VALUE!</v>
      </c>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row>
    <row r="144" collapsed="1" spans="1:64" s="37" customFormat="1" ht="30" customHeight="1">
      <c r="A144" s="20" t="s">
        <v>74</v>
      </c>
      <c r="B144" s="71" t="s">
        <v>162</v>
      </c>
      <c r="C144" s="72"/>
      <c r="D144" s="73"/>
      <c r="E144" s="74"/>
      <c r="F144" s="75"/>
      <c r="G144" s="36"/>
      <c r="H144" s="36" t="str">
        <f ca="1">IF(OR(ISBLANK(タスク_開始),ISBLANK(タスク_終了)),"",タスク_終了-タスク_開始+1)</f>
        <v/>
      </c>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row>
    <row r="145" spans="1:64" s="37" customFormat="1" ht="30" customHeight="1">
      <c r="A145" s="20"/>
      <c r="B145" s="76" t="str">
        <f>'2026'!B145</f>
        <v>業務コード</v>
      </c>
      <c r="C145" s="77" t="str">
        <f>'2026'!C145</f>
        <v xml:space="preserve"> </v>
      </c>
      <c r="D145" s="78" t="str">
        <f>'2026'!D145</f>
        <v xml:space="preserve"> </v>
      </c>
      <c r="E145" s="79" t="str">
        <f>'2026'!E145</f>
        <v xml:space="preserve"> </v>
      </c>
      <c r="F145" s="79" t="str">
        <f>'2026'!F145</f>
        <v xml:space="preserve"> </v>
      </c>
      <c r="G145" s="36"/>
      <c r="H145" s="36" t="e">
        <f ca="1">IF(OR(ISBLANK(タスク_開始),ISBLANK(タスク_終了)),"",タスク_終了-タスク_開始+1)</f>
        <v>#VALUE!</v>
      </c>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row>
    <row r="146" spans="1:64" s="37" customFormat="1" ht="30" customHeight="1">
      <c r="A146" s="20"/>
      <c r="B146" s="76" t="str">
        <f>'2026'!B146</f>
        <v>システム制御コード</v>
      </c>
      <c r="C146" s="77" t="str">
        <f>'2026'!C146</f>
        <v xml:space="preserve"> </v>
      </c>
      <c r="D146" s="78" t="str">
        <f>'2026'!D146</f>
        <v xml:space="preserve"> </v>
      </c>
      <c r="E146" s="79" t="str">
        <f>'2026'!E146</f>
        <v xml:space="preserve"> </v>
      </c>
      <c r="F146" s="79" t="str">
        <f>'2026'!F146</f>
        <v xml:space="preserve"> </v>
      </c>
      <c r="G146" s="36"/>
      <c r="H146" s="36" t="e">
        <f ca="1">IF(OR(ISBLANK(タスク_開始),ISBLANK(タスク_終了)),"",タスク_終了-タスク_開始+1)</f>
        <v>#VALUE!</v>
      </c>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row>
    <row r="147" spans="1:64" s="37" customFormat="1" ht="30" customHeight="1">
      <c r="A147" s="20"/>
      <c r="B147" s="76" t="str">
        <f>'2026'!B147</f>
        <v>タスク 1</v>
      </c>
      <c r="C147" s="77" t="str">
        <f>'2026'!C147</f>
        <v xml:space="preserve"> </v>
      </c>
      <c r="D147" s="78" t="str">
        <f>'2026'!D147</f>
        <v xml:space="preserve"> </v>
      </c>
      <c r="E147" s="79" t="str">
        <f>'2026'!E147</f>
        <v xml:space="preserve"> </v>
      </c>
      <c r="F147" s="79" t="str">
        <f>'2026'!F147</f>
        <v xml:space="preserve"> </v>
      </c>
      <c r="G147" s="36"/>
      <c r="H147" s="36" t="e">
        <f ca="1">IF(OR(ISBLANK(タスク_開始),ISBLANK(タスク_終了)),"",タスク_終了-タスク_開始+1)</f>
        <v>#VALUE!</v>
      </c>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row>
    <row r="148" spans="1:64" s="37" customFormat="1" ht="30" customHeight="1">
      <c r="A148" s="20"/>
      <c r="B148" s="76" t="str">
        <f>'2026'!B148</f>
        <v>タスク 2</v>
      </c>
      <c r="C148" s="77" t="str">
        <f>'2026'!C148</f>
        <v xml:space="preserve"> </v>
      </c>
      <c r="D148" s="78" t="str">
        <f>'2026'!D148</f>
        <v xml:space="preserve"> </v>
      </c>
      <c r="E148" s="79" t="str">
        <f>'2026'!E148</f>
        <v xml:space="preserve"> </v>
      </c>
      <c r="F148" s="79" t="str">
        <f>'2026'!F148</f>
        <v xml:space="preserve"> </v>
      </c>
      <c r="G148" s="36"/>
      <c r="H148" s="36" t="e">
        <f ca="1">IF(OR(ISBLANK(タスク_開始),ISBLANK(タスク_終了)),"",タスク_終了-タスク_開始+1)</f>
        <v>#VALUE!</v>
      </c>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row>
    <row r="149" spans="1:64" s="37" customFormat="1" ht="30" customHeight="1">
      <c r="A149" s="20"/>
      <c r="B149" s="76" t="str">
        <f>'2026'!B149</f>
        <v>タスク 3</v>
      </c>
      <c r="C149" s="77" t="str">
        <f>'2026'!C149</f>
        <v xml:space="preserve"> </v>
      </c>
      <c r="D149" s="78" t="str">
        <f>'2026'!D149</f>
        <v xml:space="preserve"> </v>
      </c>
      <c r="E149" s="79" t="str">
        <f>'2026'!E149</f>
        <v xml:space="preserve"> </v>
      </c>
      <c r="F149" s="79" t="str">
        <f>'2026'!F149</f>
        <v xml:space="preserve"> </v>
      </c>
      <c r="G149" s="36"/>
      <c r="H149" s="36" t="e">
        <f ca="1">IF(OR(ISBLANK(タスク_開始),ISBLANK(タスク_終了)),"",タスク_終了-タスク_開始+1)</f>
        <v>#VALUE!</v>
      </c>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row>
    <row r="150" spans="1:64" s="37" customFormat="1" ht="30" customHeight="1">
      <c r="A150" s="20"/>
      <c r="B150" s="76" t="str">
        <f>'2026'!B150</f>
        <v>タスク 4</v>
      </c>
      <c r="C150" s="77" t="str">
        <f>'2026'!C150</f>
        <v xml:space="preserve"> </v>
      </c>
      <c r="D150" s="78" t="str">
        <f>'2026'!D150</f>
        <v xml:space="preserve"> </v>
      </c>
      <c r="E150" s="79" t="str">
        <f>'2026'!E150</f>
        <v xml:space="preserve"> </v>
      </c>
      <c r="F150" s="79" t="str">
        <f>'2026'!F150</f>
        <v xml:space="preserve"> </v>
      </c>
      <c r="G150" s="36"/>
      <c r="H150" s="36" t="e">
        <f ca="1">IF(OR(ISBLANK(タスク_開始),ISBLANK(タスク_終了)),"",タスク_終了-タスク_開始+1)</f>
        <v>#VALUE!</v>
      </c>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row>
    <row r="151" spans="1:64" s="37" customFormat="1" ht="30" customHeight="1">
      <c r="A151" s="20"/>
      <c r="B151" s="76" t="str">
        <f>'2026'!B151</f>
        <v>タスク 5</v>
      </c>
      <c r="C151" s="77" t="str">
        <f>'2026'!C151</f>
        <v xml:space="preserve"> </v>
      </c>
      <c r="D151" s="78" t="str">
        <f>'2026'!D151</f>
        <v xml:space="preserve"> </v>
      </c>
      <c r="E151" s="79" t="str">
        <f>'2026'!E151</f>
        <v xml:space="preserve"> </v>
      </c>
      <c r="F151" s="79" t="str">
        <f>'2026'!F151</f>
        <v xml:space="preserve"> </v>
      </c>
      <c r="G151" s="36"/>
      <c r="H151" s="36" t="e">
        <f ca="1">IF(OR(ISBLANK(タスク_開始),ISBLANK(タスク_終了)),"",タスク_終了-タスク_開始+1)</f>
        <v>#VALUE!</v>
      </c>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row>
    <row r="152" spans="1:64" s="37" customFormat="1" ht="30" customHeight="1">
      <c r="A152" s="20"/>
      <c r="B152" s="76" t="str">
        <f>'2026'!B152</f>
        <v>タスク 6</v>
      </c>
      <c r="C152" s="77" t="str">
        <f>'2026'!C152</f>
        <v xml:space="preserve"> </v>
      </c>
      <c r="D152" s="78" t="str">
        <f>'2026'!D152</f>
        <v xml:space="preserve"> </v>
      </c>
      <c r="E152" s="79" t="str">
        <f>'2026'!E152</f>
        <v xml:space="preserve"> </v>
      </c>
      <c r="F152" s="79" t="str">
        <f>'2026'!F152</f>
        <v xml:space="preserve"> </v>
      </c>
      <c r="G152" s="36"/>
      <c r="H152" s="36" t="e">
        <f ca="1">IF(OR(ISBLANK(タスク_開始),ISBLANK(タスク_終了)),"",タスク_終了-タスク_開始+1)</f>
        <v>#VALUE!</v>
      </c>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row>
    <row r="153" outlineLevel="1" hidden="1" spans="1:64" s="37" customFormat="1" ht="30" customHeight="1">
      <c r="A153" s="20"/>
      <c r="B153" s="76" t="str">
        <f>'2026'!B153</f>
        <v>タスク 7</v>
      </c>
      <c r="C153" s="77" t="str">
        <f>'2026'!C153</f>
        <v xml:space="preserve"> </v>
      </c>
      <c r="D153" s="78" t="str">
        <f>'2026'!D153</f>
        <v xml:space="preserve"> </v>
      </c>
      <c r="E153" s="79" t="str">
        <f>'2026'!E153</f>
        <v xml:space="preserve"> </v>
      </c>
      <c r="F153" s="79" t="str">
        <f>'2026'!F153</f>
        <v xml:space="preserve"> </v>
      </c>
      <c r="G153" s="36"/>
      <c r="H153" s="36" t="e">
        <f ca="1">IF(OR(ISBLANK(タスク_開始),ISBLANK(タスク_終了)),"",タスク_終了-タスク_開始+1)</f>
        <v>#VALUE!</v>
      </c>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row>
    <row r="154" outlineLevel="1" hidden="1" spans="1:64" s="37" customFormat="1" ht="30" customHeight="1">
      <c r="A154" s="20"/>
      <c r="B154" s="76" t="str">
        <f>'2026'!B154</f>
        <v>タスク 8</v>
      </c>
      <c r="C154" s="77" t="str">
        <f>'2026'!C154</f>
        <v xml:space="preserve"> </v>
      </c>
      <c r="D154" s="78" t="str">
        <f>'2026'!D154</f>
        <v xml:space="preserve"> </v>
      </c>
      <c r="E154" s="79" t="str">
        <f>'2026'!E154</f>
        <v xml:space="preserve"> </v>
      </c>
      <c r="F154" s="79" t="str">
        <f>'2026'!F154</f>
        <v xml:space="preserve"> </v>
      </c>
      <c r="G154" s="36"/>
      <c r="H154" s="36" t="e">
        <f ca="1">IF(OR(ISBLANK(タスク_開始),ISBLANK(タスク_終了)),"",タスク_終了-タスク_開始+1)</f>
        <v>#VALUE!</v>
      </c>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row>
    <row r="155" outlineLevel="1" hidden="1" spans="1:64" s="37" customFormat="1" ht="30" customHeight="1">
      <c r="A155" s="20"/>
      <c r="B155" s="76" t="str">
        <f>'2026'!B155</f>
        <v>タスク 9</v>
      </c>
      <c r="C155" s="77" t="str">
        <f>'2026'!C155</f>
        <v xml:space="preserve"> </v>
      </c>
      <c r="D155" s="78" t="str">
        <f>'2026'!D155</f>
        <v xml:space="preserve"> </v>
      </c>
      <c r="E155" s="79" t="str">
        <f>'2026'!E155</f>
        <v xml:space="preserve"> </v>
      </c>
      <c r="F155" s="79" t="str">
        <f>'2026'!F155</f>
        <v xml:space="preserve"> </v>
      </c>
      <c r="G155" s="36"/>
      <c r="H155" s="36" t="e">
        <f ca="1">IF(OR(ISBLANK(タスク_開始),ISBLANK(タスク_終了)),"",タスク_終了-タスク_開始+1)</f>
        <v>#VALUE!</v>
      </c>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row>
    <row r="156" outlineLevel="1" hidden="1" spans="1:64" s="37" customFormat="1" ht="30" customHeight="1">
      <c r="A156" s="20"/>
      <c r="B156" s="76" t="str">
        <f>'2026'!B156</f>
        <v>タスク 10</v>
      </c>
      <c r="C156" s="77" t="str">
        <f>'2026'!C156</f>
        <v xml:space="preserve"> </v>
      </c>
      <c r="D156" s="78" t="str">
        <f>'2026'!D156</f>
        <v xml:space="preserve"> </v>
      </c>
      <c r="E156" s="79" t="str">
        <f>'2026'!E156</f>
        <v xml:space="preserve"> </v>
      </c>
      <c r="F156" s="79" t="str">
        <f>'2026'!F156</f>
        <v xml:space="preserve"> </v>
      </c>
      <c r="G156" s="36"/>
      <c r="H156" s="36" t="e">
        <f ca="1">IF(OR(ISBLANK(タスク_開始),ISBLANK(タスク_終了)),"",タスク_終了-タスク_開始+1)</f>
        <v>#VALUE!</v>
      </c>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row>
    <row r="157" collapsed="1" spans="1:64" s="37" customFormat="1" ht="30" customHeight="1">
      <c r="A157" s="20" t="s">
        <v>74</v>
      </c>
      <c r="B157" s="80" t="s">
        <v>175</v>
      </c>
      <c r="C157" s="81"/>
      <c r="D157" s="82"/>
      <c r="E157" s="83"/>
      <c r="F157" s="84"/>
      <c r="G157" s="36"/>
      <c r="H157" s="36" t="str">
        <f ca="1">IF(OR(ISBLANK(タスク_開始),ISBLANK(タスク_終了)),"",タスク_終了-タスク_開始+1)</f>
        <v/>
      </c>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row>
    <row r="158" spans="1:64" s="37" customFormat="1" ht="30" customHeight="1">
      <c r="A158" s="20"/>
      <c r="B158" s="85" t="str">
        <f>'2026'!B158</f>
        <v>性能設計</v>
      </c>
      <c r="C158" s="86" t="str">
        <f>'2026'!C158</f>
        <v xml:space="preserve"> </v>
      </c>
      <c r="D158" s="87" t="str">
        <f>'2026'!D158</f>
        <v xml:space="preserve"> </v>
      </c>
      <c r="E158" s="88" t="str">
        <f>'2026'!E158</f>
        <v xml:space="preserve"> </v>
      </c>
      <c r="F158" s="88" t="str">
        <f>'2026'!F158</f>
        <v xml:space="preserve"> </v>
      </c>
      <c r="G158" s="36"/>
      <c r="H158" s="36" t="e">
        <f ca="1">IF(OR(ISBLANK(タスク_開始),ISBLANK(タスク_終了)),"",タスク_終了-タスク_開始+1)</f>
        <v>#VALUE!</v>
      </c>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row>
    <row r="159" spans="1:64" s="37" customFormat="1" ht="30" customHeight="1">
      <c r="A159" s="20"/>
      <c r="B159" s="85" t="str">
        <f>'2026'!B159</f>
        <v>業務内容</v>
      </c>
      <c r="C159" s="86" t="str">
        <f>'2026'!C159</f>
        <v xml:space="preserve"> </v>
      </c>
      <c r="D159" s="87" t="str">
        <f>'2026'!D159</f>
        <v xml:space="preserve"> </v>
      </c>
      <c r="E159" s="88" t="str">
        <f>'2026'!E159</f>
        <v xml:space="preserve"> </v>
      </c>
      <c r="F159" s="88" t="str">
        <f>'2026'!F159</f>
        <v xml:space="preserve"> </v>
      </c>
      <c r="G159" s="36"/>
      <c r="H159" s="36" t="e">
        <f ca="1">IF(OR(ISBLANK(タスク_開始),ISBLANK(タスク_終了)),"",タスク_終了-タスク_開始+1)</f>
        <v>#VALUE!</v>
      </c>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row>
    <row r="160" spans="1:64" s="37" customFormat="1" ht="30" customHeight="1">
      <c r="A160" s="20"/>
      <c r="B160" s="85" t="str">
        <f>'2026'!B160</f>
        <v>管理項目</v>
      </c>
      <c r="C160" s="86" t="str">
        <f>'2026'!C160</f>
        <v xml:space="preserve"> </v>
      </c>
      <c r="D160" s="87" t="str">
        <f>'2026'!D160</f>
        <v xml:space="preserve"> </v>
      </c>
      <c r="E160" s="88" t="str">
        <f>'2026'!E160</f>
        <v xml:space="preserve"> </v>
      </c>
      <c r="F160" s="88" t="str">
        <f>'2026'!F160</f>
        <v xml:space="preserve"> </v>
      </c>
      <c r="G160" s="36"/>
      <c r="H160" s="36" t="e">
        <f ca="1">IF(OR(ISBLANK(タスク_開始),ISBLANK(タスク_終了)),"",タスク_終了-タスク_開始+1)</f>
        <v>#VALUE!</v>
      </c>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row>
    <row r="161" spans="1:64" s="37" customFormat="1" ht="30" customHeight="1">
      <c r="A161" s="20"/>
      <c r="B161" s="85" t="str">
        <f>'2026'!B161</f>
        <v>運用スケジュール</v>
      </c>
      <c r="C161" s="86" t="str">
        <f>'2026'!C161</f>
        <v xml:space="preserve"> </v>
      </c>
      <c r="D161" s="87" t="str">
        <f>'2026'!D161</f>
        <v xml:space="preserve"> </v>
      </c>
      <c r="E161" s="88" t="str">
        <f>'2026'!E161</f>
        <v xml:space="preserve"> </v>
      </c>
      <c r="F161" s="88" t="str">
        <f>'2026'!F161</f>
        <v xml:space="preserve"> </v>
      </c>
      <c r="G161" s="36"/>
      <c r="H161" s="36" t="e">
        <f ca="1">IF(OR(ISBLANK(タスク_開始),ISBLANK(タスク_終了)),"",タスク_終了-タスク_開始+1)</f>
        <v>#VALUE!</v>
      </c>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row>
    <row r="162" spans="1:64" s="37" customFormat="1" ht="30" customHeight="1">
      <c r="A162" s="20"/>
      <c r="B162" s="85" t="str">
        <f>'2026'!B162</f>
        <v>信頼性・保守設計</v>
      </c>
      <c r="C162" s="86" t="str">
        <f>'2026'!C162</f>
        <v xml:space="preserve"> </v>
      </c>
      <c r="D162" s="87" t="str">
        <f>'2026'!D162</f>
        <v xml:space="preserve"> </v>
      </c>
      <c r="E162" s="88" t="str">
        <f>'2026'!E162</f>
        <v xml:space="preserve"> </v>
      </c>
      <c r="F162" s="88" t="str">
        <f>'2026'!F162</f>
        <v xml:space="preserve"> </v>
      </c>
      <c r="G162" s="36"/>
      <c r="H162" s="36" t="e">
        <f ca="1">IF(OR(ISBLANK(タスク_開始),ISBLANK(タスク_終了)),"",タスク_終了-タスク_開始+1)</f>
        <v>#VALUE!</v>
      </c>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row>
    <row r="163" spans="1:64" s="37" customFormat="1" ht="30" customHeight="1">
      <c r="A163" s="20" t="s">
        <v>74</v>
      </c>
      <c r="B163" s="89" t="s">
        <v>181</v>
      </c>
      <c r="C163" s="90"/>
      <c r="D163" s="91"/>
      <c r="E163" s="92"/>
      <c r="F163" s="93"/>
      <c r="G163" s="36"/>
      <c r="H163" s="36" t="str">
        <f ca="1">IF(OR(ISBLANK(タスク_開始),ISBLANK(タスク_終了)),"",タスク_終了-タスク_開始+1)</f>
        <v/>
      </c>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row>
    <row r="164" spans="1:64" s="37" customFormat="1" ht="30" customHeight="1">
      <c r="A164" s="20"/>
      <c r="B164" s="94" t="str">
        <f>'2026'!B164</f>
        <v>7A-01.CustomizeScreenクラス（xxxxx）</v>
      </c>
      <c r="C164" s="95" t="str">
        <f>'2026'!C164</f>
        <v xml:space="preserve"> </v>
      </c>
      <c r="D164" s="96" t="str">
        <f>'2026'!D164</f>
        <v xml:space="preserve"> </v>
      </c>
      <c r="E164" s="97" t="str">
        <f>'2026'!E164</f>
        <v xml:space="preserve"> </v>
      </c>
      <c r="F164" s="97" t="str">
        <f>'2026'!F164</f>
        <v xml:space="preserve"> </v>
      </c>
      <c r="G164" s="36"/>
      <c r="H164" s="36" t="e">
        <f ca="1">IF(OR(ISBLANK(タスク_開始),ISBLANK(タスク_終了)),"",タスク_終了-タスク_開始+1)</f>
        <v>#VALUE!</v>
      </c>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row>
    <row r="165" spans="1:64" s="37" customFormat="1" ht="30" customHeight="1">
      <c r="A165" s="20"/>
      <c r="B165" s="94" t="str">
        <f>'2026'!B165</f>
        <v>7A-02.BikeViewクラス（xxxxx）</v>
      </c>
      <c r="C165" s="95" t="str">
        <f>'2026'!C165</f>
        <v xml:space="preserve"> </v>
      </c>
      <c r="D165" s="96" t="str">
        <f>'2026'!D165</f>
        <v xml:space="preserve"> </v>
      </c>
      <c r="E165" s="97" t="str">
        <f>'2026'!E165</f>
        <v xml:space="preserve"> </v>
      </c>
      <c r="F165" s="97" t="str">
        <f>'2026'!F165</f>
        <v xml:space="preserve"> </v>
      </c>
      <c r="G165" s="36"/>
      <c r="H165" s="36" t="e">
        <f ca="1">IF(OR(ISBLANK(タスク_開始),ISBLANK(タスク_終了)),"",タスク_終了-タスク_開始+1)</f>
        <v>#VALUE!</v>
      </c>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row>
    <row r="166" spans="1:64" s="37" customFormat="1" ht="30" customHeight="1">
      <c r="A166" s="20"/>
      <c r="B166" s="94" t="str">
        <f>'2026'!B166</f>
        <v>7A-03.CompareViewクラス（xxxxx）</v>
      </c>
      <c r="C166" s="95" t="str">
        <f>'2026'!C166</f>
        <v xml:space="preserve"> </v>
      </c>
      <c r="D166" s="96" t="str">
        <f>'2026'!D166</f>
        <v xml:space="preserve"> </v>
      </c>
      <c r="E166" s="97" t="str">
        <f>'2026'!E166</f>
        <v xml:space="preserve"> </v>
      </c>
      <c r="F166" s="97" t="str">
        <f>'2026'!F166</f>
        <v xml:space="preserve"> </v>
      </c>
      <c r="G166" s="36"/>
      <c r="H166" s="36" t="e">
        <f ca="1">IF(OR(ISBLANK(タスク_開始),ISBLANK(タスク_終了)),"",タスク_終了-タスク_開始+1)</f>
        <v>#VALUE!</v>
      </c>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row>
    <row r="167" spans="1:64" s="37" customFormat="1" ht="30" customHeight="1">
      <c r="A167" s="20"/>
      <c r="B167" s="94" t="str">
        <f>'2026'!B167</f>
        <v>7A-04.SaveListPanelクラス（xxxxx）</v>
      </c>
      <c r="C167" s="95" t="str">
        <f>'2026'!C167</f>
        <v xml:space="preserve"> </v>
      </c>
      <c r="D167" s="96" t="str">
        <f>'2026'!D167</f>
        <v xml:space="preserve"> </v>
      </c>
      <c r="E167" s="97" t="str">
        <f>'2026'!E167</f>
        <v xml:space="preserve"> </v>
      </c>
      <c r="F167" s="97" t="str">
        <f>'2026'!F167</f>
        <v xml:space="preserve"> </v>
      </c>
      <c r="G167" s="36"/>
      <c r="H167" s="36" t="e">
        <f ca="1">IF(OR(ISBLANK(タスク_開始),ISBLANK(タスク_終了)),"",タスク_終了-タスク_開始+1)</f>
        <v>#VALUE!</v>
      </c>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row>
    <row r="168" spans="1:64" s="37" customFormat="1" ht="30" customHeight="1">
      <c r="A168" s="20"/>
      <c r="B168" s="94" t="str">
        <f>'2026'!B168</f>
        <v>7A-05.AdminScreenクラス（xxxxx）</v>
      </c>
      <c r="C168" s="95" t="str">
        <f>'2026'!C168</f>
        <v xml:space="preserve"> </v>
      </c>
      <c r="D168" s="96" t="str">
        <f>'2026'!D168</f>
        <v xml:space="preserve"> </v>
      </c>
      <c r="E168" s="97" t="str">
        <f>'2026'!E168</f>
        <v xml:space="preserve"> </v>
      </c>
      <c r="F168" s="97" t="str">
        <f>'2026'!F168</f>
        <v xml:space="preserve"> </v>
      </c>
      <c r="G168" s="36"/>
      <c r="H168" s="36" t="e">
        <f ca="1">IF(OR(ISBLANK(タスク_開始),ISBLANK(タスク_終了)),"",タスク_終了-タスク_開始+1)</f>
        <v>#VALUE!</v>
      </c>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row>
    <row r="169" spans="1:64" s="37" customFormat="1" ht="30" customHeight="1">
      <c r="A169" s="20"/>
      <c r="B169" s="94" t="str">
        <f>'2026'!B169</f>
        <v>7A-06.PdfDialogクラス（xxxxx）</v>
      </c>
      <c r="C169" s="95" t="str">
        <f>'2026'!C169</f>
        <v xml:space="preserve"> </v>
      </c>
      <c r="D169" s="96" t="str">
        <f>'2026'!D169</f>
        <v xml:space="preserve"> </v>
      </c>
      <c r="E169" s="97" t="str">
        <f>'2026'!E169</f>
        <v xml:space="preserve"> </v>
      </c>
      <c r="F169" s="97" t="str">
        <f>'2026'!F169</f>
        <v xml:space="preserve"> </v>
      </c>
      <c r="G169" s="36"/>
      <c r="H169" s="36" t="e">
        <f ca="1">IF(OR(ISBLANK(タスク_開始),ISBLANK(タスク_終了)),"",タスク_終了-タスク_開始+1)</f>
        <v>#VALUE!</v>
      </c>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row>
    <row r="170" spans="1:64" s="37" customFormat="1" ht="30" customHeight="1">
      <c r="A170" s="20"/>
      <c r="B170" s="94" t="str">
        <f>'2026'!B170</f>
        <v>7A-07.VehicleSelectorクラス（xxxxx）</v>
      </c>
      <c r="C170" s="95" t="str">
        <f>'2026'!C170</f>
        <v xml:space="preserve"> </v>
      </c>
      <c r="D170" s="96" t="str">
        <f>'2026'!D170</f>
        <v xml:space="preserve"> </v>
      </c>
      <c r="E170" s="97" t="str">
        <f>'2026'!E170</f>
        <v xml:space="preserve"> </v>
      </c>
      <c r="F170" s="97" t="str">
        <f>'2026'!F170</f>
        <v xml:space="preserve"> </v>
      </c>
      <c r="G170" s="36"/>
      <c r="H170" s="36" t="e">
        <f ca="1">IF(OR(ISBLANK(タスク_開始),ISBLANK(タスク_終了)),"",タスク_終了-タスク_開始+1)</f>
        <v>#VALUE!</v>
      </c>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row>
    <row r="171" spans="1:64" s="37" customFormat="1" ht="30" customHeight="1">
      <c r="A171" s="20"/>
      <c r="B171" s="94" t="str">
        <f>'2026'!B171</f>
        <v>7A-08.VehicleSelectorクラス（xxxxx）</v>
      </c>
      <c r="C171" s="95" t="str">
        <f>'2026'!C171</f>
        <v xml:space="preserve"> </v>
      </c>
      <c r="D171" s="96" t="str">
        <f>'2026'!D171</f>
        <v xml:space="preserve"> </v>
      </c>
      <c r="E171" s="97" t="str">
        <f>'2026'!E171</f>
        <v xml:space="preserve"> </v>
      </c>
      <c r="F171" s="97" t="str">
        <f>'2026'!F171</f>
        <v xml:space="preserve"> </v>
      </c>
      <c r="G171" s="36"/>
      <c r="H171" s="36" t="e">
        <f ca="1">IF(OR(ISBLANK(タスク_開始),ISBLANK(タスク_終了)),"",タスク_終了-タスク_開始+1)</f>
        <v>#VALUE!</v>
      </c>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row>
    <row r="172" spans="1:64" s="37" customFormat="1" ht="30" customHeight="1">
      <c r="A172" s="20"/>
      <c r="B172" s="94" t="str">
        <f>'2026'!B172</f>
        <v>7A-09.CatalogManagerクラス（xxxxx）</v>
      </c>
      <c r="C172" s="95" t="str">
        <f>'2026'!C172</f>
        <v xml:space="preserve"> </v>
      </c>
      <c r="D172" s="96" t="str">
        <f>'2026'!D172</f>
        <v xml:space="preserve"> </v>
      </c>
      <c r="E172" s="97" t="str">
        <f>'2026'!E172</f>
        <v xml:space="preserve"> </v>
      </c>
      <c r="F172" s="97" t="str">
        <f>'2026'!F172</f>
        <v xml:space="preserve"> </v>
      </c>
      <c r="G172" s="36"/>
      <c r="H172" s="36" t="e">
        <f ca="1">IF(OR(ISBLANK(タスク_開始),ISBLANK(タスク_終了)),"",タスク_終了-タスク_開始+1)</f>
        <v>#VALUE!</v>
      </c>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row>
    <row r="173" spans="1:64" s="37" customFormat="1" ht="30" customHeight="1">
      <c r="A173" s="20"/>
      <c r="B173" s="94" t="str">
        <f>'2026'!B173</f>
        <v>7A-10.ConstraintCheckerクラス（xxxxx）</v>
      </c>
      <c r="C173" s="95" t="str">
        <f>'2026'!C173</f>
        <v xml:space="preserve"> </v>
      </c>
      <c r="D173" s="96" t="str">
        <f>'2026'!D173</f>
        <v xml:space="preserve"> </v>
      </c>
      <c r="E173" s="97" t="str">
        <f>'2026'!E173</f>
        <v xml:space="preserve"> </v>
      </c>
      <c r="F173" s="97" t="str">
        <f>'2026'!F173</f>
        <v xml:space="preserve"> </v>
      </c>
      <c r="G173" s="36"/>
      <c r="H173" s="36" t="e">
        <f ca="1">IF(OR(ISBLANK(タスク_開始),ISBLANK(タスク_終了)),"",タスク_終了-タスク_開始+1)</f>
        <v>#VALUE!</v>
      </c>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row>
    <row r="174" spans="1:64" s="37" customFormat="1" ht="30" customHeight="1">
      <c r="A174" s="20"/>
      <c r="B174" s="94" t="str">
        <f>'2026'!B174</f>
        <v>7A-11.CustomizeControllerクラス（xxxxx）</v>
      </c>
      <c r="C174" s="95" t="str">
        <f>'2026'!C174</f>
        <v xml:space="preserve"> </v>
      </c>
      <c r="D174" s="96" t="str">
        <f>'2026'!D174</f>
        <v xml:space="preserve"> </v>
      </c>
      <c r="E174" s="97" t="str">
        <f>'2026'!E174</f>
        <v xml:space="preserve"> </v>
      </c>
      <c r="F174" s="97" t="str">
        <f>'2026'!F174</f>
        <v xml:space="preserve"> </v>
      </c>
      <c r="G174" s="36"/>
      <c r="H174" s="36" t="e">
        <f ca="1">IF(OR(ISBLANK(タスク_開始),ISBLANK(タスク_終了)),"",タスク_終了-タスク_開始+1)</f>
        <v>#VALUE!</v>
      </c>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row>
    <row r="175" spans="1:64" s="37" customFormat="1" ht="30" customHeight="1">
      <c r="A175" s="20"/>
      <c r="B175" s="94" t="str">
        <f>'2026'!B175</f>
        <v>7A-12.HistoryManagerクラス（xxxxx）</v>
      </c>
      <c r="C175" s="95" t="str">
        <f>'2026'!C175</f>
        <v xml:space="preserve"> </v>
      </c>
      <c r="D175" s="96" t="str">
        <f>'2026'!D175</f>
        <v xml:space="preserve"> </v>
      </c>
      <c r="E175" s="97" t="str">
        <f>'2026'!E175</f>
        <v xml:space="preserve"> </v>
      </c>
      <c r="F175" s="97" t="str">
        <f>'2026'!F175</f>
        <v xml:space="preserve"> </v>
      </c>
      <c r="G175" s="36"/>
      <c r="H175" s="36" t="e">
        <f ca="1">IF(OR(ISBLANK(タスク_開始),ISBLANK(タスク_終了)),"",タスク_終了-タスク_開始+1)</f>
        <v>#VALUE!</v>
      </c>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row>
    <row r="176" spans="1:64" s="37" customFormat="1" ht="30" customHeight="1">
      <c r="A176" s="20"/>
      <c r="B176" s="94" t="str">
        <f>'2026'!B176</f>
        <v>7A-13.CompareControllerクラス（xxxxx）</v>
      </c>
      <c r="C176" s="95" t="str">
        <f>'2026'!C176</f>
        <v xml:space="preserve"> </v>
      </c>
      <c r="D176" s="96" t="str">
        <f>'2026'!D176</f>
        <v xml:space="preserve"> </v>
      </c>
      <c r="E176" s="97" t="str">
        <f>'2026'!E176</f>
        <v xml:space="preserve"> </v>
      </c>
      <c r="F176" s="97" t="str">
        <f>'2026'!F176</f>
        <v xml:space="preserve"> </v>
      </c>
      <c r="G176" s="36"/>
      <c r="H176" s="36" t="e">
        <f ca="1">IF(OR(ISBLANK(タスク_開始),ISBLANK(タスク_終了)),"",タスク_終了-タスク_開始+1)</f>
        <v>#VALUE!</v>
      </c>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row>
    <row r="177" spans="1:64" s="37" customFormat="1" ht="30" customHeight="1">
      <c r="A177" s="20"/>
      <c r="B177" s="94" t="str">
        <f>'2026'!B177</f>
        <v>7A-14.BuildRepositoryクラス（xxxxx）</v>
      </c>
      <c r="C177" s="95" t="str">
        <f>'2026'!C177</f>
        <v xml:space="preserve"> </v>
      </c>
      <c r="D177" s="96" t="str">
        <f>'2026'!D177</f>
        <v xml:space="preserve"> </v>
      </c>
      <c r="E177" s="97" t="str">
        <f>'2026'!E177</f>
        <v xml:space="preserve"> </v>
      </c>
      <c r="F177" s="97" t="str">
        <f>'2026'!F177</f>
        <v xml:space="preserve"> </v>
      </c>
      <c r="G177" s="36"/>
      <c r="H177" s="36" t="e">
        <f ca="1">IF(OR(ISBLANK(タスク_開始),ISBLANK(タスク_終了)),"",タスク_終了-タスク_開始+1)</f>
        <v>#VALUE!</v>
      </c>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row>
    <row r="178" spans="1:64" s="37" customFormat="1" ht="30" customHeight="1">
      <c r="A178" s="20"/>
      <c r="B178" s="94" t="str">
        <f>'2026'!B178</f>
        <v>7A-15.PdfExporterクラス（xxxxx）</v>
      </c>
      <c r="C178" s="95" t="str">
        <f>'2026'!C178</f>
        <v xml:space="preserve"> </v>
      </c>
      <c r="D178" s="96" t="str">
        <f>'2026'!D178</f>
        <v xml:space="preserve"> </v>
      </c>
      <c r="E178" s="97" t="str">
        <f>'2026'!E178</f>
        <v xml:space="preserve"> </v>
      </c>
      <c r="F178" s="97" t="str">
        <f>'2026'!F178</f>
        <v xml:space="preserve"> </v>
      </c>
      <c r="G178" s="36"/>
      <c r="H178" s="36" t="e">
        <f ca="1">IF(OR(ISBLANK(タスク_開始),ISBLANK(タスク_終了)),"",タスク_終了-タスク_開始+1)</f>
        <v>#VALUE!</v>
      </c>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row>
    <row r="179" spans="1:64" s="37" customFormat="1" ht="30" customHeight="1">
      <c r="A179" s="20"/>
      <c r="B179" s="94" t="str">
        <f>'2026'!B179</f>
        <v>7A-16.Tendererクラス（xxxxx）</v>
      </c>
      <c r="C179" s="95" t="str">
        <f>'2026'!C179</f>
        <v xml:space="preserve"> </v>
      </c>
      <c r="D179" s="96" t="str">
        <f>'2026'!D179</f>
        <v xml:space="preserve"> </v>
      </c>
      <c r="E179" s="97" t="str">
        <f>'2026'!E179</f>
        <v xml:space="preserve"> </v>
      </c>
      <c r="F179" s="97" t="str">
        <f>'2026'!F179</f>
        <v xml:space="preserve"> </v>
      </c>
      <c r="G179" s="36"/>
      <c r="H179" s="36" t="e">
        <f ca="1">IF(OR(ISBLANK(タスク_開始),ISBLANK(タスク_終了)),"",タスク_終了-タスク_開始+1)</f>
        <v>#VALUE!</v>
      </c>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row>
    <row r="180" spans="1:64" s="37" customFormat="1" ht="30" customHeight="1">
      <c r="A180" s="20"/>
      <c r="B180" s="94" t="str">
        <f>'2026'!B180</f>
        <v>7A-17.Catalogクラス（xxxxx）</v>
      </c>
      <c r="C180" s="95" t="str">
        <f>'2026'!C180</f>
        <v xml:space="preserve"> </v>
      </c>
      <c r="D180" s="96" t="str">
        <f>'2026'!D180</f>
        <v xml:space="preserve"> </v>
      </c>
      <c r="E180" s="97" t="str">
        <f>'2026'!E180</f>
        <v xml:space="preserve"> </v>
      </c>
      <c r="F180" s="97" t="str">
        <f>'2026'!F180</f>
        <v xml:space="preserve"> </v>
      </c>
      <c r="G180" s="36"/>
      <c r="H180" s="36" t="e">
        <f ca="1">IF(OR(ISBLANK(タスク_開始),ISBLANK(タスク_終了)),"",タスク_終了-タスク_開始+1)</f>
        <v>#VALUE!</v>
      </c>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row>
    <row r="181" spans="1:64" s="37" customFormat="1" ht="30" customHeight="1">
      <c r="A181" s="20"/>
      <c r="B181" s="94" t="str">
        <f>'2026'!B181</f>
        <v>7A-18.BaseVehicleクラス（xxxxx）</v>
      </c>
      <c r="C181" s="95" t="str">
        <f>'2026'!C181</f>
        <v xml:space="preserve"> </v>
      </c>
      <c r="D181" s="96" t="str">
        <f>'2026'!D181</f>
        <v xml:space="preserve"> </v>
      </c>
      <c r="E181" s="97" t="str">
        <f>'2026'!E181</f>
        <v xml:space="preserve"> </v>
      </c>
      <c r="F181" s="97" t="str">
        <f>'2026'!F181</f>
        <v xml:space="preserve"> </v>
      </c>
      <c r="G181" s="36"/>
      <c r="H181" s="36" t="e">
        <f ca="1">IF(OR(ISBLANK(タスク_開始),ISBLANK(タスク_終了)),"",タスク_終了-タスク_開始+1)</f>
        <v>#VALUE!</v>
      </c>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row>
    <row r="182" spans="1:64" s="37" customFormat="1" ht="30" customHeight="1">
      <c r="A182" s="20"/>
      <c r="B182" s="94" t="str">
        <f>'2026'!B182</f>
        <v>7A-19.PartSlogクラス（xxxxx）</v>
      </c>
      <c r="C182" s="95" t="str">
        <f>'2026'!C182</f>
        <v xml:space="preserve"> </v>
      </c>
      <c r="D182" s="96" t="str">
        <f>'2026'!D182</f>
        <v xml:space="preserve"> </v>
      </c>
      <c r="E182" s="97" t="str">
        <f>'2026'!E182</f>
        <v xml:space="preserve"> </v>
      </c>
      <c r="F182" s="97" t="str">
        <f>'2026'!F182</f>
        <v xml:space="preserve"> </v>
      </c>
      <c r="G182" s="36"/>
      <c r="H182" s="36" t="e">
        <f ca="1">IF(OR(ISBLANK(タスク_開始),ISBLANK(タスク_終了)),"",タスク_終了-タスク_開始+1)</f>
        <v>#VALUE!</v>
      </c>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row>
    <row r="183" spans="1:64" s="37" customFormat="1" ht="30" customHeight="1">
      <c r="A183" s="20"/>
      <c r="B183" s="94" t="str">
        <f>'2026'!B183</f>
        <v>7A-20.Partクラス（xxxxx）</v>
      </c>
      <c r="C183" s="95" t="str">
        <f>'2026'!C183</f>
        <v xml:space="preserve"> </v>
      </c>
      <c r="D183" s="96" t="str">
        <f>'2026'!D183</f>
        <v xml:space="preserve"> </v>
      </c>
      <c r="E183" s="97" t="str">
        <f>'2026'!E183</f>
        <v xml:space="preserve"> </v>
      </c>
      <c r="F183" s="97" t="str">
        <f>'2026'!F183</f>
        <v xml:space="preserve"> </v>
      </c>
      <c r="G183" s="36"/>
      <c r="H183" s="36" t="e">
        <f ca="1">IF(OR(ISBLANK(タスク_開始),ISBLANK(タスク_終了)),"",タスク_終了-タスク_開始+1)</f>
        <v>#VALUE!</v>
      </c>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row>
    <row r="184" spans="1:64" s="37" customFormat="1" ht="30" customHeight="1">
      <c r="A184" s="20"/>
      <c r="B184" s="94" t="str">
        <f>'2026'!B184</f>
        <v>7A-21.PaintSlotクラス（xxxxx）</v>
      </c>
      <c r="C184" s="95" t="str">
        <f>'2026'!C184</f>
        <v xml:space="preserve"> </v>
      </c>
      <c r="D184" s="96" t="str">
        <f>'2026'!D184</f>
        <v xml:space="preserve"> </v>
      </c>
      <c r="E184" s="97" t="str">
        <f>'2026'!E184</f>
        <v xml:space="preserve"> </v>
      </c>
      <c r="F184" s="97" t="str">
        <f>'2026'!F184</f>
        <v xml:space="preserve"> </v>
      </c>
      <c r="G184" s="36"/>
      <c r="H184" s="36" t="e">
        <f ca="1">IF(OR(ISBLANK(タスク_開始),ISBLANK(タスク_終了)),"",タスク_終了-タスク_開始+1)</f>
        <v>#VALUE!</v>
      </c>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row>
    <row r="185" spans="1:64" s="37" customFormat="1" ht="30" customHeight="1">
      <c r="A185" s="20"/>
      <c r="B185" s="94" t="str">
        <f>'2026'!B185</f>
        <v>7A-22.Constraintクラス（xxxxx）</v>
      </c>
      <c r="C185" s="95" t="str">
        <f>'2026'!C185</f>
        <v xml:space="preserve"> </v>
      </c>
      <c r="D185" s="96" t="str">
        <f>'2026'!D185</f>
        <v xml:space="preserve"> </v>
      </c>
      <c r="E185" s="97" t="str">
        <f>'2026'!E185</f>
        <v xml:space="preserve"> </v>
      </c>
      <c r="F185" s="97" t="str">
        <f>'2026'!F185</f>
        <v xml:space="preserve"> </v>
      </c>
      <c r="G185" s="36"/>
      <c r="H185" s="36" t="e">
        <f ca="1">IF(OR(ISBLANK(タスク_開始),ISBLANK(タスク_終了)),"",タスク_終了-タスク_開始+1)</f>
        <v>#VALUE!</v>
      </c>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row>
    <row r="186" spans="1:64" s="37" customFormat="1" ht="30" customHeight="1">
      <c r="A186" s="20"/>
      <c r="B186" s="94" t="str">
        <f>'2026'!B186</f>
        <v>7A-23.BuildSpecクラス（xxxxx）</v>
      </c>
      <c r="C186" s="95" t="str">
        <f>'2026'!C186</f>
        <v xml:space="preserve"> </v>
      </c>
      <c r="D186" s="96" t="str">
        <f>'2026'!D186</f>
        <v xml:space="preserve"> </v>
      </c>
      <c r="E186" s="97" t="str">
        <f>'2026'!E186</f>
        <v xml:space="preserve"> </v>
      </c>
      <c r="F186" s="97" t="str">
        <f>'2026'!F186</f>
        <v xml:space="preserve"> </v>
      </c>
      <c r="G186" s="36"/>
      <c r="H186" s="36" t="e">
        <f ca="1">IF(OR(ISBLANK(タスク_開始),ISBLANK(タスク_終了)),"",タスク_終了-タスク_開始+1)</f>
        <v>#VALUE!</v>
      </c>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row>
    <row r="187" spans="1:64" s="37" customFormat="1" ht="30" customHeight="1">
      <c r="A187" s="20"/>
      <c r="B187" s="94" t="str">
        <f>'2026'!B187</f>
        <v>7A-24.WorkSpaceクラス（xxxxx）</v>
      </c>
      <c r="C187" s="95" t="str">
        <f>'2026'!C187</f>
        <v xml:space="preserve"> </v>
      </c>
      <c r="D187" s="96" t="str">
        <f>'2026'!D187</f>
        <v xml:space="preserve"> </v>
      </c>
      <c r="E187" s="97" t="str">
        <f>'2026'!E187</f>
        <v xml:space="preserve"> </v>
      </c>
      <c r="F187" s="97" t="str">
        <f>'2026'!F187</f>
        <v xml:space="preserve"> </v>
      </c>
      <c r="G187" s="36"/>
      <c r="H187" s="36" t="e">
        <f ca="1">IF(OR(ISBLANK(タスク_開始),ISBLANK(タスク_終了)),"",タスク_終了-タスク_開始+1)</f>
        <v>#VALUE!</v>
      </c>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row>
    <row r="188" spans="1:64" s="37" customFormat="1" ht="30" customHeight="1">
      <c r="A188" s="20"/>
      <c r="B188" s="94" t="str">
        <f>'2026'!B188</f>
        <v>7A-25.EditCommandクラス（xxxxx）</v>
      </c>
      <c r="C188" s="95" t="str">
        <f>'2026'!C188</f>
        <v xml:space="preserve"> </v>
      </c>
      <c r="D188" s="96" t="str">
        <f>'2026'!D188</f>
        <v xml:space="preserve"> </v>
      </c>
      <c r="E188" s="97" t="str">
        <f>'2026'!E188</f>
        <v xml:space="preserve"> </v>
      </c>
      <c r="F188" s="97" t="str">
        <f>'2026'!F188</f>
        <v xml:space="preserve"> </v>
      </c>
      <c r="G188" s="36"/>
      <c r="H188" s="36" t="e">
        <f ca="1">IF(OR(ISBLANK(タスク_開始),ISBLANK(タスク_終了)),"",タスク_終了-タスク_開始+1)</f>
        <v>#VALUE!</v>
      </c>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row>
    <row r="189" spans="1:64" s="37" customFormat="1" ht="30" customHeight="1">
      <c r="A189" s="20"/>
      <c r="B189" s="94" t="str">
        <f>'2026'!B189</f>
        <v>7A-26.SavedBuildクラス（xxxxx）</v>
      </c>
      <c r="C189" s="95" t="str">
        <f>'2026'!C189</f>
        <v xml:space="preserve"> </v>
      </c>
      <c r="D189" s="96" t="str">
        <f>'2026'!D189</f>
        <v xml:space="preserve"> </v>
      </c>
      <c r="E189" s="97" t="str">
        <f>'2026'!E189</f>
        <v xml:space="preserve"> </v>
      </c>
      <c r="F189" s="97" t="str">
        <f>'2026'!F189</f>
        <v xml:space="preserve"> </v>
      </c>
      <c r="G189" s="36"/>
      <c r="H189" s="36" t="e">
        <f ca="1">IF(OR(ISBLANK(タスク_開始),ISBLANK(タスク_終了)),"",タスク_終了-タスク_開始+1)</f>
        <v>#VALUE!</v>
      </c>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row>
    <row r="190" spans="1:64" s="37" customFormat="1" ht="30" customHeight="1">
      <c r="A190" s="20"/>
      <c r="B190" s="94" t="str">
        <f>'2026'!B190</f>
        <v>7A-27.○○クラス（xxxxx）</v>
      </c>
      <c r="C190" s="95" t="str">
        <f>'2026'!C190</f>
        <v xml:space="preserve"> </v>
      </c>
      <c r="D190" s="96" t="str">
        <f>'2026'!D190</f>
        <v xml:space="preserve"> </v>
      </c>
      <c r="E190" s="97" t="str">
        <f>'2026'!E190</f>
        <v xml:space="preserve"> </v>
      </c>
      <c r="F190" s="97" t="str">
        <f>'2026'!F190</f>
        <v xml:space="preserve"> </v>
      </c>
      <c r="G190" s="36"/>
      <c r="H190" s="36" t="e">
        <f ca="1">IF(OR(ISBLANK(タスク_開始),ISBLANK(タスク_終了)),"",タスク_終了-タスク_開始+1)</f>
        <v>#VALUE!</v>
      </c>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row>
    <row r="191" outlineLevel="1" hidden="1" spans="1:64" s="37" customFormat="1" ht="30" customHeight="1">
      <c r="A191" s="20"/>
      <c r="B191" s="94" t="str">
        <f>'2026'!B191</f>
        <v>7A-28.○○クラス（xxxxx）</v>
      </c>
      <c r="C191" s="95" t="str">
        <f>'2026'!C191</f>
        <v xml:space="preserve"> </v>
      </c>
      <c r="D191" s="96" t="str">
        <f>'2026'!D191</f>
        <v xml:space="preserve"> </v>
      </c>
      <c r="E191" s="97" t="str">
        <f>'2026'!E191</f>
        <v xml:space="preserve"> </v>
      </c>
      <c r="F191" s="97" t="str">
        <f>'2026'!F191</f>
        <v xml:space="preserve"> </v>
      </c>
      <c r="G191" s="36"/>
      <c r="H191" s="36" t="e">
        <f ca="1">IF(OR(ISBLANK(タスク_開始),ISBLANK(タスク_終了)),"",タスク_終了-タスク_開始+1)</f>
        <v>#VALUE!</v>
      </c>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row>
    <row r="192" outlineLevel="1" hidden="1" spans="1:64" s="37" customFormat="1" ht="30" customHeight="1">
      <c r="A192" s="20"/>
      <c r="B192" s="94" t="str">
        <f>'2026'!B192</f>
        <v>7A-29.○○クラス（xxxxx）</v>
      </c>
      <c r="C192" s="95" t="str">
        <f>'2026'!C192</f>
        <v xml:space="preserve"> </v>
      </c>
      <c r="D192" s="96" t="str">
        <f>'2026'!D192</f>
        <v xml:space="preserve"> </v>
      </c>
      <c r="E192" s="97" t="str">
        <f>'2026'!E192</f>
        <v xml:space="preserve"> </v>
      </c>
      <c r="F192" s="97" t="str">
        <f>'2026'!F192</f>
        <v xml:space="preserve"> </v>
      </c>
      <c r="G192" s="36"/>
      <c r="H192" s="36" t="e">
        <f ca="1">IF(OR(ISBLANK(タスク_開始),ISBLANK(タスク_終了)),"",タスク_終了-タスク_開始+1)</f>
        <v>#VALUE!</v>
      </c>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row>
    <row r="193" outlineLevel="1" hidden="1" spans="1:64" s="37" customFormat="1" ht="30" customHeight="1">
      <c r="A193" s="20"/>
      <c r="B193" s="94" t="str">
        <f>'2026'!B193</f>
        <v>7A-30.○○クラス（xxxxx）</v>
      </c>
      <c r="C193" s="95" t="str">
        <f>'2026'!C193</f>
        <v xml:space="preserve"> </v>
      </c>
      <c r="D193" s="96" t="str">
        <f>'2026'!D193</f>
        <v xml:space="preserve"> </v>
      </c>
      <c r="E193" s="97" t="str">
        <f>'2026'!E193</f>
        <v xml:space="preserve"> </v>
      </c>
      <c r="F193" s="97" t="str">
        <f>'2026'!F193</f>
        <v xml:space="preserve"> </v>
      </c>
      <c r="G193" s="36"/>
      <c r="H193" s="36" t="e">
        <f ca="1">IF(OR(ISBLANK(タスク_開始),ISBLANK(タスク_終了)),"",タスク_終了-タスク_開始+1)</f>
        <v>#VALUE!</v>
      </c>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row>
    <row r="194" collapsed="1" spans="1:64" s="37" customFormat="1" ht="30" customHeight="1">
      <c r="A194" s="20" t="s">
        <v>74</v>
      </c>
      <c r="B194" s="89" t="s">
        <v>212</v>
      </c>
      <c r="C194" s="90"/>
      <c r="D194" s="91"/>
      <c r="E194" s="92"/>
      <c r="F194" s="93"/>
      <c r="G194" s="36"/>
      <c r="H194" s="36" t="str">
        <f ca="1">IF(OR(ISBLANK(タスク_開始),ISBLANK(タスク_終了)),"",タスク_終了-タスク_開始+1)</f>
        <v/>
      </c>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row>
    <row r="195" spans="1:64" s="37" customFormat="1" ht="30" customHeight="1">
      <c r="A195" s="20"/>
      <c r="B195" s="94" t="str">
        <f>'2026'!B195</f>
        <v>7B-01.○○クラス（xxxxx）</v>
      </c>
      <c r="C195" s="95" t="str">
        <f>'2026'!C195</f>
        <v xml:space="preserve"> </v>
      </c>
      <c r="D195" s="96" t="str">
        <f>'2026'!D195</f>
        <v xml:space="preserve"> </v>
      </c>
      <c r="E195" s="97" t="str">
        <f>'2026'!E195</f>
        <v xml:space="preserve"> </v>
      </c>
      <c r="F195" s="97" t="str">
        <f>'2026'!F195</f>
        <v xml:space="preserve"> </v>
      </c>
      <c r="G195" s="36"/>
      <c r="H195" s="36" t="e">
        <f ca="1">IF(OR(ISBLANK(タスク_開始),ISBLANK(タスク_終了)),"",タスク_終了-タスク_開始+1)</f>
        <v>#VALUE!</v>
      </c>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row>
    <row r="196" spans="1:64" s="37" customFormat="1" ht="30" customHeight="1">
      <c r="A196" s="20"/>
      <c r="B196" s="94" t="str">
        <f>'2026'!B196</f>
        <v>7B-02.○○クラス（xxxxx）</v>
      </c>
      <c r="C196" s="95" t="str">
        <f>'2026'!C196</f>
        <v xml:space="preserve"> </v>
      </c>
      <c r="D196" s="96" t="str">
        <f>'2026'!D196</f>
        <v xml:space="preserve"> </v>
      </c>
      <c r="E196" s="97" t="str">
        <f>'2026'!E196</f>
        <v xml:space="preserve"> </v>
      </c>
      <c r="F196" s="97" t="str">
        <f>'2026'!F196</f>
        <v xml:space="preserve"> </v>
      </c>
      <c r="G196" s="36"/>
      <c r="H196" s="36" t="e">
        <f ca="1">IF(OR(ISBLANK(タスク_開始),ISBLANK(タスク_終了)),"",タスク_終了-タスク_開始+1)</f>
        <v>#VALUE!</v>
      </c>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row>
    <row r="197" outlineLevel="1" hidden="1" spans="1:64" s="37" customFormat="1" ht="30" customHeight="1">
      <c r="A197" s="20"/>
      <c r="B197" s="94" t="str">
        <f>'2026'!B197</f>
        <v>7B-03.○○クラス（xxxxx）</v>
      </c>
      <c r="C197" s="95" t="str">
        <f>'2026'!C197</f>
        <v xml:space="preserve"> </v>
      </c>
      <c r="D197" s="96" t="str">
        <f>'2026'!D197</f>
        <v xml:space="preserve"> </v>
      </c>
      <c r="E197" s="97" t="str">
        <f>'2026'!E197</f>
        <v xml:space="preserve"> </v>
      </c>
      <c r="F197" s="97" t="str">
        <f>'2026'!F197</f>
        <v xml:space="preserve"> </v>
      </c>
      <c r="G197" s="36"/>
      <c r="H197" s="36" t="e">
        <f ca="1">IF(OR(ISBLANK(タスク_開始),ISBLANK(タスク_終了)),"",タスク_終了-タスク_開始+1)</f>
        <v>#VALUE!</v>
      </c>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row>
    <row r="198" outlineLevel="1" hidden="1" spans="1:64" s="37" customFormat="1" ht="30" customHeight="1">
      <c r="A198" s="20"/>
      <c r="B198" s="94" t="str">
        <f>'2026'!B198</f>
        <v>7B-04.○○クラス（xxxxx）</v>
      </c>
      <c r="C198" s="95" t="str">
        <f>'2026'!C198</f>
        <v xml:space="preserve"> </v>
      </c>
      <c r="D198" s="96" t="str">
        <f>'2026'!D198</f>
        <v xml:space="preserve"> </v>
      </c>
      <c r="E198" s="97" t="str">
        <f>'2026'!E198</f>
        <v xml:space="preserve"> </v>
      </c>
      <c r="F198" s="97" t="str">
        <f>'2026'!F198</f>
        <v xml:space="preserve"> </v>
      </c>
      <c r="G198" s="36"/>
      <c r="H198" s="36" t="e">
        <f ca="1">IF(OR(ISBLANK(タスク_開始),ISBLANK(タスク_終了)),"",タスク_終了-タスク_開始+1)</f>
        <v>#VALUE!</v>
      </c>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row>
    <row r="199" outlineLevel="1" hidden="1" spans="1:64" s="37" customFormat="1" ht="30" customHeight="1">
      <c r="A199" s="20"/>
      <c r="B199" s="94" t="str">
        <f>'2026'!B199</f>
        <v>7B-05.○○クラス（xxxxx）</v>
      </c>
      <c r="C199" s="95" t="str">
        <f>'2026'!C199</f>
        <v xml:space="preserve"> </v>
      </c>
      <c r="D199" s="96" t="str">
        <f>'2026'!D199</f>
        <v xml:space="preserve"> </v>
      </c>
      <c r="E199" s="97" t="str">
        <f>'2026'!E199</f>
        <v xml:space="preserve"> </v>
      </c>
      <c r="F199" s="97" t="str">
        <f>'2026'!F199</f>
        <v xml:space="preserve"> </v>
      </c>
      <c r="G199" s="36"/>
      <c r="H199" s="36" t="e">
        <f ca="1">IF(OR(ISBLANK(タスク_開始),ISBLANK(タスク_終了)),"",タスク_終了-タスク_開始+1)</f>
        <v>#VALUE!</v>
      </c>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row>
    <row r="200" outlineLevel="1" hidden="1" spans="1:64" s="37" customFormat="1" ht="30" customHeight="1">
      <c r="A200" s="20"/>
      <c r="B200" s="94" t="str">
        <f>'2026'!B200</f>
        <v>7B-06.○○クラス（xxxxx）</v>
      </c>
      <c r="C200" s="95" t="str">
        <f>'2026'!C200</f>
        <v xml:space="preserve"> </v>
      </c>
      <c r="D200" s="96" t="str">
        <f>'2026'!D200</f>
        <v xml:space="preserve"> </v>
      </c>
      <c r="E200" s="97" t="str">
        <f>'2026'!E200</f>
        <v xml:space="preserve"> </v>
      </c>
      <c r="F200" s="97" t="str">
        <f>'2026'!F200</f>
        <v xml:space="preserve"> </v>
      </c>
      <c r="G200" s="36"/>
      <c r="H200" s="36" t="e">
        <f ca="1">IF(OR(ISBLANK(タスク_開始),ISBLANK(タスク_終了)),"",タスク_終了-タスク_開始+1)</f>
        <v>#VALUE!</v>
      </c>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row>
    <row r="201" outlineLevel="1" hidden="1" spans="1:64" s="37" customFormat="1" ht="30" customHeight="1">
      <c r="A201" s="20"/>
      <c r="B201" s="94" t="str">
        <f>'2026'!B201</f>
        <v>7B-07.○○クラス（xxxxx）</v>
      </c>
      <c r="C201" s="95" t="str">
        <f>'2026'!C201</f>
        <v xml:space="preserve"> </v>
      </c>
      <c r="D201" s="96" t="str">
        <f>'2026'!D201</f>
        <v xml:space="preserve"> </v>
      </c>
      <c r="E201" s="97" t="str">
        <f>'2026'!E201</f>
        <v xml:space="preserve"> </v>
      </c>
      <c r="F201" s="97" t="str">
        <f>'2026'!F201</f>
        <v xml:space="preserve"> </v>
      </c>
      <c r="G201" s="36"/>
      <c r="H201" s="36" t="e">
        <f ca="1">IF(OR(ISBLANK(タスク_開始),ISBLANK(タスク_終了)),"",タスク_終了-タスク_開始+1)</f>
        <v>#VALUE!</v>
      </c>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row>
    <row r="202" outlineLevel="1" hidden="1" spans="1:64" s="37" customFormat="1" ht="30" customHeight="1">
      <c r="A202" s="20"/>
      <c r="B202" s="94" t="str">
        <f>'2026'!B202</f>
        <v>7B-08.○○クラス（xxxxx）</v>
      </c>
      <c r="C202" s="95" t="str">
        <f>'2026'!C202</f>
        <v xml:space="preserve"> </v>
      </c>
      <c r="D202" s="96" t="str">
        <f>'2026'!D202</f>
        <v xml:space="preserve"> </v>
      </c>
      <c r="E202" s="97" t="str">
        <f>'2026'!E202</f>
        <v xml:space="preserve"> </v>
      </c>
      <c r="F202" s="97" t="str">
        <f>'2026'!F202</f>
        <v xml:space="preserve"> </v>
      </c>
      <c r="G202" s="36"/>
      <c r="H202" s="36" t="e">
        <f ca="1">IF(OR(ISBLANK(タスク_開始),ISBLANK(タスク_終了)),"",タスク_終了-タスク_開始+1)</f>
        <v>#VALUE!</v>
      </c>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row>
    <row r="203" outlineLevel="1" hidden="1" spans="1:64" s="37" customFormat="1" ht="30" customHeight="1">
      <c r="A203" s="20"/>
      <c r="B203" s="94" t="str">
        <f>'2026'!B203</f>
        <v>7B-09.○○クラス（xxxxx）</v>
      </c>
      <c r="C203" s="95" t="str">
        <f>'2026'!C203</f>
        <v xml:space="preserve"> </v>
      </c>
      <c r="D203" s="96" t="str">
        <f>'2026'!D203</f>
        <v xml:space="preserve"> </v>
      </c>
      <c r="E203" s="97" t="str">
        <f>'2026'!E203</f>
        <v xml:space="preserve"> </v>
      </c>
      <c r="F203" s="97" t="str">
        <f>'2026'!F203</f>
        <v xml:space="preserve"> </v>
      </c>
      <c r="G203" s="36"/>
      <c r="H203" s="36" t="e">
        <f ca="1">IF(OR(ISBLANK(タスク_開始),ISBLANK(タスク_終了)),"",タスク_終了-タスク_開始+1)</f>
        <v>#VALUE!</v>
      </c>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row>
    <row r="204" outlineLevel="1" hidden="1" spans="1:64" s="37" customFormat="1" ht="30" customHeight="1">
      <c r="A204" s="20"/>
      <c r="B204" s="94" t="str">
        <f>'2026'!B204</f>
        <v>7B-10.○○クラス（xxxxx）</v>
      </c>
      <c r="C204" s="95" t="str">
        <f>'2026'!C204</f>
        <v xml:space="preserve"> </v>
      </c>
      <c r="D204" s="96" t="str">
        <f>'2026'!D204</f>
        <v xml:space="preserve"> </v>
      </c>
      <c r="E204" s="97" t="str">
        <f>'2026'!E204</f>
        <v xml:space="preserve"> </v>
      </c>
      <c r="F204" s="97" t="str">
        <f>'2026'!F204</f>
        <v xml:space="preserve"> </v>
      </c>
      <c r="G204" s="36"/>
      <c r="H204" s="36" t="e">
        <f ca="1">IF(OR(ISBLANK(タスク_開始),ISBLANK(タスク_終了)),"",タスク_終了-タスク_開始+1)</f>
        <v>#VALUE!</v>
      </c>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row>
    <row r="205" outlineLevel="1" hidden="1" spans="1:64" s="37" customFormat="1" ht="30" customHeight="1">
      <c r="A205" s="20"/>
      <c r="B205" s="94" t="str">
        <f>'2026'!B205</f>
        <v>7B-11.○○クラス（xxxxx）</v>
      </c>
      <c r="C205" s="95" t="str">
        <f>'2026'!C205</f>
        <v xml:space="preserve"> </v>
      </c>
      <c r="D205" s="96" t="str">
        <f>'2026'!D205</f>
        <v xml:space="preserve"> </v>
      </c>
      <c r="E205" s="97" t="str">
        <f>'2026'!E205</f>
        <v xml:space="preserve"> </v>
      </c>
      <c r="F205" s="97" t="str">
        <f>'2026'!F205</f>
        <v xml:space="preserve"> </v>
      </c>
      <c r="G205" s="36"/>
      <c r="H205" s="36" t="e">
        <f ca="1">IF(OR(ISBLANK(タスク_開始),ISBLANK(タスク_終了)),"",タスク_終了-タスク_開始+1)</f>
        <v>#VALUE!</v>
      </c>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row>
    <row r="206" outlineLevel="1" hidden="1" spans="1:64" s="37" customFormat="1" ht="30" customHeight="1">
      <c r="A206" s="20"/>
      <c r="B206" s="94" t="str">
        <f>'2026'!B206</f>
        <v>7B-12.○○クラス（xxxxx）</v>
      </c>
      <c r="C206" s="95" t="str">
        <f>'2026'!C206</f>
        <v xml:space="preserve"> </v>
      </c>
      <c r="D206" s="96" t="str">
        <f>'2026'!D206</f>
        <v xml:space="preserve"> </v>
      </c>
      <c r="E206" s="97" t="str">
        <f>'2026'!E206</f>
        <v xml:space="preserve"> </v>
      </c>
      <c r="F206" s="97" t="str">
        <f>'2026'!F206</f>
        <v xml:space="preserve"> </v>
      </c>
      <c r="G206" s="36"/>
      <c r="H206" s="36" t="e">
        <f ca="1">IF(OR(ISBLANK(タスク_開始),ISBLANK(タスク_終了)),"",タスク_終了-タスク_開始+1)</f>
        <v>#VALUE!</v>
      </c>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row>
    <row r="207" outlineLevel="1" hidden="1" spans="1:64" s="37" customFormat="1" ht="30" customHeight="1">
      <c r="A207" s="20"/>
      <c r="B207" s="94" t="str">
        <f>'2026'!B207</f>
        <v>7B-13.○○クラス（xxxxx）</v>
      </c>
      <c r="C207" s="95" t="str">
        <f>'2026'!C207</f>
        <v xml:space="preserve"> </v>
      </c>
      <c r="D207" s="96" t="str">
        <f>'2026'!D207</f>
        <v xml:space="preserve"> </v>
      </c>
      <c r="E207" s="97" t="str">
        <f>'2026'!E207</f>
        <v xml:space="preserve"> </v>
      </c>
      <c r="F207" s="97" t="str">
        <f>'2026'!F207</f>
        <v xml:space="preserve"> </v>
      </c>
      <c r="G207" s="36"/>
      <c r="H207" s="36" t="e">
        <f ca="1">IF(OR(ISBLANK(タスク_開始),ISBLANK(タスク_終了)),"",タスク_終了-タスク_開始+1)</f>
        <v>#VALUE!</v>
      </c>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row>
    <row r="208" outlineLevel="1" hidden="1" spans="1:64" s="37" customFormat="1" ht="30" customHeight="1">
      <c r="A208" s="20"/>
      <c r="B208" s="94" t="str">
        <f>'2026'!B208</f>
        <v>7B-14.○○クラス（xxxxx）</v>
      </c>
      <c r="C208" s="95" t="str">
        <f>'2026'!C208</f>
        <v xml:space="preserve"> </v>
      </c>
      <c r="D208" s="96" t="str">
        <f>'2026'!D208</f>
        <v xml:space="preserve"> </v>
      </c>
      <c r="E208" s="97" t="str">
        <f>'2026'!E208</f>
        <v xml:space="preserve"> </v>
      </c>
      <c r="F208" s="97" t="str">
        <f>'2026'!F208</f>
        <v xml:space="preserve"> </v>
      </c>
      <c r="G208" s="36"/>
      <c r="H208" s="36" t="e">
        <f ca="1">IF(OR(ISBLANK(タスク_開始),ISBLANK(タスク_終了)),"",タスク_終了-タスク_開始+1)</f>
        <v>#VALUE!</v>
      </c>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row>
    <row r="209" outlineLevel="1" hidden="1" spans="1:64" s="37" customFormat="1" ht="30" customHeight="1">
      <c r="A209" s="20"/>
      <c r="B209" s="94" t="str">
        <f>'2026'!B209</f>
        <v>7B-15.○○クラス（xxxxx）</v>
      </c>
      <c r="C209" s="95" t="str">
        <f>'2026'!C209</f>
        <v xml:space="preserve"> </v>
      </c>
      <c r="D209" s="96" t="str">
        <f>'2026'!D209</f>
        <v xml:space="preserve"> </v>
      </c>
      <c r="E209" s="97" t="str">
        <f>'2026'!E209</f>
        <v xml:space="preserve"> </v>
      </c>
      <c r="F209" s="97" t="str">
        <f>'2026'!F209</f>
        <v xml:space="preserve"> </v>
      </c>
      <c r="G209" s="36"/>
      <c r="H209" s="36" t="e">
        <f ca="1">IF(OR(ISBLANK(タスク_開始),ISBLANK(タスク_終了)),"",タスク_終了-タスク_開始+1)</f>
        <v>#VALUE!</v>
      </c>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row>
    <row r="210" outlineLevel="1" hidden="1" spans="1:64" s="37" customFormat="1" ht="30" customHeight="1">
      <c r="A210" s="20"/>
      <c r="B210" s="94" t="str">
        <f>'2026'!B210</f>
        <v>7B-16.○○クラス（xxxxx）</v>
      </c>
      <c r="C210" s="95" t="str">
        <f>'2026'!C210</f>
        <v xml:space="preserve"> </v>
      </c>
      <c r="D210" s="96" t="str">
        <f>'2026'!D210</f>
        <v xml:space="preserve"> </v>
      </c>
      <c r="E210" s="97" t="str">
        <f>'2026'!E210</f>
        <v xml:space="preserve"> </v>
      </c>
      <c r="F210" s="97" t="str">
        <f>'2026'!F210</f>
        <v xml:space="preserve"> </v>
      </c>
      <c r="G210" s="36"/>
      <c r="H210" s="36" t="e">
        <f ca="1">IF(OR(ISBLANK(タスク_開始),ISBLANK(タスク_終了)),"",タスク_終了-タスク_開始+1)</f>
        <v>#VALUE!</v>
      </c>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row>
    <row r="211" outlineLevel="1" hidden="1" spans="1:64" s="37" customFormat="1" ht="30" customHeight="1">
      <c r="A211" s="20"/>
      <c r="B211" s="94" t="str">
        <f>'2026'!B211</f>
        <v>7B-17.○○クラス（xxxxx）</v>
      </c>
      <c r="C211" s="95" t="str">
        <f>'2026'!C211</f>
        <v xml:space="preserve"> </v>
      </c>
      <c r="D211" s="96" t="str">
        <f>'2026'!D211</f>
        <v xml:space="preserve"> </v>
      </c>
      <c r="E211" s="97" t="str">
        <f>'2026'!E211</f>
        <v xml:space="preserve"> </v>
      </c>
      <c r="F211" s="97" t="str">
        <f>'2026'!F211</f>
        <v xml:space="preserve"> </v>
      </c>
      <c r="G211" s="36"/>
      <c r="H211" s="36" t="e">
        <f ca="1">IF(OR(ISBLANK(タスク_開始),ISBLANK(タスク_終了)),"",タスク_終了-タスク_開始+1)</f>
        <v>#VALUE!</v>
      </c>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row>
    <row r="212" outlineLevel="1" hidden="1" spans="1:64" s="37" customFormat="1" ht="30" customHeight="1">
      <c r="A212" s="20"/>
      <c r="B212" s="94" t="str">
        <f>'2026'!B212</f>
        <v>7B-18.○○クラス（xxxxx）</v>
      </c>
      <c r="C212" s="95" t="str">
        <f>'2026'!C212</f>
        <v xml:space="preserve"> </v>
      </c>
      <c r="D212" s="96" t="str">
        <f>'2026'!D212</f>
        <v xml:space="preserve"> </v>
      </c>
      <c r="E212" s="97" t="str">
        <f>'2026'!E212</f>
        <v xml:space="preserve"> </v>
      </c>
      <c r="F212" s="97" t="str">
        <f>'2026'!F212</f>
        <v xml:space="preserve"> </v>
      </c>
      <c r="G212" s="36"/>
      <c r="H212" s="36" t="e">
        <f ca="1">IF(OR(ISBLANK(タスク_開始),ISBLANK(タスク_終了)),"",タスク_終了-タスク_開始+1)</f>
        <v>#VALUE!</v>
      </c>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row>
    <row r="213" outlineLevel="1" hidden="1" spans="1:64" s="37" customFormat="1" ht="30" customHeight="1">
      <c r="A213" s="20"/>
      <c r="B213" s="94" t="str">
        <f>'2026'!B213</f>
        <v>7B-19.○○クラス（xxxxx）</v>
      </c>
      <c r="C213" s="95" t="str">
        <f>'2026'!C213</f>
        <v xml:space="preserve"> </v>
      </c>
      <c r="D213" s="96" t="str">
        <f>'2026'!D213</f>
        <v xml:space="preserve"> </v>
      </c>
      <c r="E213" s="97" t="str">
        <f>'2026'!E213</f>
        <v xml:space="preserve"> </v>
      </c>
      <c r="F213" s="97" t="str">
        <f>'2026'!F213</f>
        <v xml:space="preserve"> </v>
      </c>
      <c r="G213" s="36"/>
      <c r="H213" s="36" t="e">
        <f ca="1">IF(OR(ISBLANK(タスク_開始),ISBLANK(タスク_終了)),"",タスク_終了-タスク_開始+1)</f>
        <v>#VALUE!</v>
      </c>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row>
    <row r="214" outlineLevel="1" hidden="1" spans="1:64" s="37" customFormat="1" ht="30" customHeight="1">
      <c r="A214" s="20"/>
      <c r="B214" s="94" t="str">
        <f>'2026'!B214</f>
        <v>7B-20.○○クラス（xxxxx）</v>
      </c>
      <c r="C214" s="95" t="str">
        <f>'2026'!C214</f>
        <v xml:space="preserve"> </v>
      </c>
      <c r="D214" s="96" t="str">
        <f>'2026'!D214</f>
        <v xml:space="preserve"> </v>
      </c>
      <c r="E214" s="97" t="str">
        <f>'2026'!E214</f>
        <v xml:space="preserve"> </v>
      </c>
      <c r="F214" s="97" t="str">
        <f>'2026'!F214</f>
        <v xml:space="preserve"> </v>
      </c>
      <c r="G214" s="36"/>
      <c r="H214" s="36" t="e">
        <f ca="1">IF(OR(ISBLANK(タスク_開始),ISBLANK(タスク_終了)),"",タスク_終了-タスク_開始+1)</f>
        <v>#VALUE!</v>
      </c>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row>
    <row r="215" outlineLevel="1" hidden="1" spans="1:64" s="37" customFormat="1" ht="30" customHeight="1">
      <c r="A215" s="20"/>
      <c r="B215" s="94" t="str">
        <f>'2026'!B215</f>
        <v>7B-21.○○クラス（xxxxx）</v>
      </c>
      <c r="C215" s="95" t="str">
        <f>'2026'!C215</f>
        <v xml:space="preserve"> </v>
      </c>
      <c r="D215" s="96" t="str">
        <f>'2026'!D215</f>
        <v xml:space="preserve"> </v>
      </c>
      <c r="E215" s="97" t="str">
        <f>'2026'!E215</f>
        <v xml:space="preserve"> </v>
      </c>
      <c r="F215" s="97" t="str">
        <f>'2026'!F215</f>
        <v xml:space="preserve"> </v>
      </c>
      <c r="G215" s="36"/>
      <c r="H215" s="36" t="e">
        <f ca="1">IF(OR(ISBLANK(タスク_開始),ISBLANK(タスク_終了)),"",タスク_終了-タスク_開始+1)</f>
        <v>#VALUE!</v>
      </c>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row>
    <row r="216" outlineLevel="1" hidden="1" spans="1:64" s="37" customFormat="1" ht="30" customHeight="1">
      <c r="A216" s="20"/>
      <c r="B216" s="94" t="str">
        <f>'2026'!B216</f>
        <v>7B-22.○○クラス（xxxxx）</v>
      </c>
      <c r="C216" s="95" t="str">
        <f>'2026'!C216</f>
        <v xml:space="preserve"> </v>
      </c>
      <c r="D216" s="96" t="str">
        <f>'2026'!D216</f>
        <v xml:space="preserve"> </v>
      </c>
      <c r="E216" s="97" t="str">
        <f>'2026'!E216</f>
        <v xml:space="preserve"> </v>
      </c>
      <c r="F216" s="97" t="str">
        <f>'2026'!F216</f>
        <v xml:space="preserve"> </v>
      </c>
      <c r="G216" s="36"/>
      <c r="H216" s="36" t="e">
        <f ca="1">IF(OR(ISBLANK(タスク_開始),ISBLANK(タスク_終了)),"",タスク_終了-タスク_開始+1)</f>
        <v>#VALUE!</v>
      </c>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row>
    <row r="217" outlineLevel="1" hidden="1" spans="1:64" s="37" customFormat="1" ht="30" customHeight="1">
      <c r="A217" s="20"/>
      <c r="B217" s="94" t="str">
        <f>'2026'!B217</f>
        <v>7B-23.○○クラス（xxxxx）</v>
      </c>
      <c r="C217" s="95" t="str">
        <f>'2026'!C217</f>
        <v xml:space="preserve"> </v>
      </c>
      <c r="D217" s="96" t="str">
        <f>'2026'!D217</f>
        <v xml:space="preserve"> </v>
      </c>
      <c r="E217" s="97" t="str">
        <f>'2026'!E217</f>
        <v xml:space="preserve"> </v>
      </c>
      <c r="F217" s="97" t="str">
        <f>'2026'!F217</f>
        <v xml:space="preserve"> </v>
      </c>
      <c r="G217" s="36"/>
      <c r="H217" s="36" t="e">
        <f ca="1">IF(OR(ISBLANK(タスク_開始),ISBLANK(タスク_終了)),"",タスク_終了-タスク_開始+1)</f>
        <v>#VALUE!</v>
      </c>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row>
    <row r="218" outlineLevel="1" hidden="1" spans="1:64" s="37" customFormat="1" ht="30" customHeight="1">
      <c r="A218" s="20"/>
      <c r="B218" s="94" t="str">
        <f>'2026'!B218</f>
        <v>7B-24.○○クラス（xxxxx）</v>
      </c>
      <c r="C218" s="95" t="str">
        <f>'2026'!C218</f>
        <v xml:space="preserve"> </v>
      </c>
      <c r="D218" s="96" t="str">
        <f>'2026'!D218</f>
        <v xml:space="preserve"> </v>
      </c>
      <c r="E218" s="97" t="str">
        <f>'2026'!E218</f>
        <v xml:space="preserve"> </v>
      </c>
      <c r="F218" s="97" t="str">
        <f>'2026'!F218</f>
        <v xml:space="preserve"> </v>
      </c>
      <c r="G218" s="36"/>
      <c r="H218" s="36" t="e">
        <f ca="1">IF(OR(ISBLANK(タスク_開始),ISBLANK(タスク_終了)),"",タスク_終了-タスク_開始+1)</f>
        <v>#VALUE!</v>
      </c>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row>
    <row r="219" outlineLevel="1" hidden="1" spans="1:64" s="37" customFormat="1" ht="30" customHeight="1">
      <c r="A219" s="20"/>
      <c r="B219" s="94" t="str">
        <f>'2026'!B219</f>
        <v>7B-25.○○クラス（xxxxx）</v>
      </c>
      <c r="C219" s="95" t="str">
        <f>'2026'!C219</f>
        <v xml:space="preserve"> </v>
      </c>
      <c r="D219" s="96" t="str">
        <f>'2026'!D219</f>
        <v xml:space="preserve"> </v>
      </c>
      <c r="E219" s="97" t="str">
        <f>'2026'!E219</f>
        <v xml:space="preserve"> </v>
      </c>
      <c r="F219" s="97" t="str">
        <f>'2026'!F219</f>
        <v xml:space="preserve"> </v>
      </c>
      <c r="G219" s="36"/>
      <c r="H219" s="36" t="e">
        <f ca="1">IF(OR(ISBLANK(タスク_開始),ISBLANK(タスク_終了)),"",タスク_終了-タスク_開始+1)</f>
        <v>#VALUE!</v>
      </c>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row>
    <row r="220" outlineLevel="1" hidden="1" spans="1:64" s="37" customFormat="1" ht="30" customHeight="1">
      <c r="A220" s="20"/>
      <c r="B220" s="94" t="str">
        <f>'2026'!B220</f>
        <v>7B-26.○○クラス（xxxxx）</v>
      </c>
      <c r="C220" s="95" t="str">
        <f>'2026'!C220</f>
        <v xml:space="preserve"> </v>
      </c>
      <c r="D220" s="96" t="str">
        <f>'2026'!D220</f>
        <v xml:space="preserve"> </v>
      </c>
      <c r="E220" s="97" t="str">
        <f>'2026'!E220</f>
        <v xml:space="preserve"> </v>
      </c>
      <c r="F220" s="97" t="str">
        <f>'2026'!F220</f>
        <v xml:space="preserve"> </v>
      </c>
      <c r="G220" s="36"/>
      <c r="H220" s="36" t="e">
        <f ca="1">IF(OR(ISBLANK(タスク_開始),ISBLANK(タスク_終了)),"",タスク_終了-タスク_開始+1)</f>
        <v>#VALUE!</v>
      </c>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row>
    <row r="221" outlineLevel="1" hidden="1" spans="1:64" s="37" customFormat="1" ht="30" customHeight="1">
      <c r="A221" s="20"/>
      <c r="B221" s="94" t="str">
        <f>'2026'!B221</f>
        <v>7B-27.○○クラス（xxxxx）</v>
      </c>
      <c r="C221" s="95" t="str">
        <f>'2026'!C221</f>
        <v xml:space="preserve"> </v>
      </c>
      <c r="D221" s="96" t="str">
        <f>'2026'!D221</f>
        <v xml:space="preserve"> </v>
      </c>
      <c r="E221" s="97" t="str">
        <f>'2026'!E221</f>
        <v xml:space="preserve"> </v>
      </c>
      <c r="F221" s="97" t="str">
        <f>'2026'!F221</f>
        <v xml:space="preserve"> </v>
      </c>
      <c r="G221" s="36"/>
      <c r="H221" s="36" t="e">
        <f ca="1">IF(OR(ISBLANK(タスク_開始),ISBLANK(タスク_終了)),"",タスク_終了-タスク_開始+1)</f>
        <v>#VALUE!</v>
      </c>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row>
    <row r="222" outlineLevel="1" hidden="1" spans="1:64" s="37" customFormat="1" ht="30" customHeight="1">
      <c r="A222" s="20"/>
      <c r="B222" s="94" t="str">
        <f>'2026'!B222</f>
        <v>7B-28.○○クラス（xxxxx）</v>
      </c>
      <c r="C222" s="95" t="str">
        <f>'2026'!C222</f>
        <v xml:space="preserve"> </v>
      </c>
      <c r="D222" s="96" t="str">
        <f>'2026'!D222</f>
        <v xml:space="preserve"> </v>
      </c>
      <c r="E222" s="97" t="str">
        <f>'2026'!E222</f>
        <v xml:space="preserve"> </v>
      </c>
      <c r="F222" s="97" t="str">
        <f>'2026'!F222</f>
        <v xml:space="preserve"> </v>
      </c>
      <c r="G222" s="36"/>
      <c r="H222" s="36" t="e">
        <f ca="1">IF(OR(ISBLANK(タスク_開始),ISBLANK(タスク_終了)),"",タスク_終了-タスク_開始+1)</f>
        <v>#VALUE!</v>
      </c>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row>
    <row r="223" outlineLevel="1" hidden="1" spans="1:64" s="37" customFormat="1" ht="30" customHeight="1">
      <c r="A223" s="20"/>
      <c r="B223" s="94" t="str">
        <f>'2026'!B223</f>
        <v>7B-29.○○クラス（xxxxx）</v>
      </c>
      <c r="C223" s="95" t="str">
        <f>'2026'!C223</f>
        <v xml:space="preserve"> </v>
      </c>
      <c r="D223" s="96" t="str">
        <f>'2026'!D223</f>
        <v xml:space="preserve"> </v>
      </c>
      <c r="E223" s="97" t="str">
        <f>'2026'!E223</f>
        <v xml:space="preserve"> </v>
      </c>
      <c r="F223" s="97" t="str">
        <f>'2026'!F223</f>
        <v xml:space="preserve"> </v>
      </c>
      <c r="G223" s="36"/>
      <c r="H223" s="36" t="e">
        <f ca="1">IF(OR(ISBLANK(タスク_開始),ISBLANK(タスク_終了)),"",タスク_終了-タスク_開始+1)</f>
        <v>#VALUE!</v>
      </c>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row>
    <row r="224" outlineLevel="1" hidden="1" spans="1:64" s="37" customFormat="1" ht="30" customHeight="1">
      <c r="A224" s="20"/>
      <c r="B224" s="94" t="str">
        <f>'2026'!B224</f>
        <v>7B-30.○○クラス（xxxxx）</v>
      </c>
      <c r="C224" s="95" t="str">
        <f>'2026'!C224</f>
        <v xml:space="preserve"> </v>
      </c>
      <c r="D224" s="96" t="str">
        <f>'2026'!D224</f>
        <v xml:space="preserve"> </v>
      </c>
      <c r="E224" s="97" t="str">
        <f>'2026'!E224</f>
        <v xml:space="preserve"> </v>
      </c>
      <c r="F224" s="97" t="str">
        <f>'2026'!F224</f>
        <v xml:space="preserve"> </v>
      </c>
      <c r="G224" s="36"/>
      <c r="H224" s="36" t="e">
        <f ca="1">IF(OR(ISBLANK(タスク_開始),ISBLANK(タスク_終了)),"",タスク_終了-タスク_開始+1)</f>
        <v>#VALUE!</v>
      </c>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row>
    <row r="225" collapsed="1" spans="1:64" s="37" customFormat="1" ht="30" customHeight="1">
      <c r="A225" s="20" t="s">
        <v>74</v>
      </c>
      <c r="B225" s="89" t="s">
        <v>243</v>
      </c>
      <c r="C225" s="90"/>
      <c r="D225" s="91"/>
      <c r="E225" s="92"/>
      <c r="F225" s="93"/>
      <c r="G225" s="36"/>
      <c r="H225" s="36" t="str">
        <f ca="1">IF(OR(ISBLANK(タスク_開始),ISBLANK(タスク_終了)),"",タスク_終了-タスク_開始+1)</f>
        <v/>
      </c>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row>
    <row r="226" spans="1:64" s="37" customFormat="1" ht="30" customHeight="1">
      <c r="A226" s="20"/>
      <c r="B226" s="94" t="str">
        <f>'2026'!B226</f>
        <v>7C-01.○○クラス（xxxxx）</v>
      </c>
      <c r="C226" s="95" t="str">
        <f>'2026'!C226</f>
        <v xml:space="preserve"> </v>
      </c>
      <c r="D226" s="96" t="str">
        <f>'2026'!D226</f>
        <v xml:space="preserve"> </v>
      </c>
      <c r="E226" s="97" t="str">
        <f>'2026'!E226</f>
        <v xml:space="preserve"> </v>
      </c>
      <c r="F226" s="97" t="str">
        <f>'2026'!F226</f>
        <v xml:space="preserve"> </v>
      </c>
      <c r="G226" s="36"/>
      <c r="H226" s="36" t="e">
        <f ca="1">IF(OR(ISBLANK(タスク_開始),ISBLANK(タスク_終了)),"",タスク_終了-タスク_開始+1)</f>
        <v>#VALUE!</v>
      </c>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row>
    <row r="227" spans="1:64" s="37" customFormat="1" ht="30" customHeight="1">
      <c r="A227" s="20"/>
      <c r="B227" s="94" t="str">
        <f>'2026'!B227</f>
        <v>7C-02.○○クラス（xxxxx）</v>
      </c>
      <c r="C227" s="95" t="str">
        <f>'2026'!C227</f>
        <v xml:space="preserve"> </v>
      </c>
      <c r="D227" s="96" t="str">
        <f>'2026'!D227</f>
        <v xml:space="preserve"> </v>
      </c>
      <c r="E227" s="97" t="str">
        <f>'2026'!E227</f>
        <v xml:space="preserve"> </v>
      </c>
      <c r="F227" s="97" t="str">
        <f>'2026'!F227</f>
        <v xml:space="preserve"> </v>
      </c>
      <c r="G227" s="36"/>
      <c r="H227" s="36" t="e">
        <f ca="1">IF(OR(ISBLANK(タスク_開始),ISBLANK(タスク_終了)),"",タスク_終了-タスク_開始+1)</f>
        <v>#VALUE!</v>
      </c>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row>
    <row r="228" spans="1:64" s="37" customFormat="1" ht="30" customHeight="1">
      <c r="A228" s="20"/>
      <c r="B228" s="94" t="str">
        <f>'2026'!B228</f>
        <v>7C-03.○○クラス（xxxxx）</v>
      </c>
      <c r="C228" s="95" t="str">
        <f>'2026'!C228</f>
        <v xml:space="preserve"> </v>
      </c>
      <c r="D228" s="96" t="str">
        <f>'2026'!D228</f>
        <v xml:space="preserve"> </v>
      </c>
      <c r="E228" s="97" t="str">
        <f>'2026'!E228</f>
        <v xml:space="preserve"> </v>
      </c>
      <c r="F228" s="97" t="str">
        <f>'2026'!F228</f>
        <v xml:space="preserve"> </v>
      </c>
      <c r="G228" s="36"/>
      <c r="H228" s="36" t="e">
        <f ca="1">IF(OR(ISBLANK(タスク_開始),ISBLANK(タスク_終了)),"",タスク_終了-タスク_開始+1)</f>
        <v>#VALUE!</v>
      </c>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row>
    <row r="229" spans="1:64" s="37" customFormat="1" ht="30" customHeight="1">
      <c r="A229" s="20"/>
      <c r="B229" s="94" t="str">
        <f>'2026'!B229</f>
        <v>7C-04.○○クラス（xxxxx）</v>
      </c>
      <c r="C229" s="95" t="str">
        <f>'2026'!C229</f>
        <v xml:space="preserve"> </v>
      </c>
      <c r="D229" s="96" t="str">
        <f>'2026'!D229</f>
        <v xml:space="preserve"> </v>
      </c>
      <c r="E229" s="97" t="str">
        <f>'2026'!E229</f>
        <v xml:space="preserve"> </v>
      </c>
      <c r="F229" s="97" t="str">
        <f>'2026'!F229</f>
        <v xml:space="preserve"> </v>
      </c>
      <c r="G229" s="36"/>
      <c r="H229" s="36" t="e">
        <f ca="1">IF(OR(ISBLANK(タスク_開始),ISBLANK(タスク_終了)),"",タスク_終了-タスク_開始+1)</f>
        <v>#VALUE!</v>
      </c>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row>
    <row r="230" spans="1:64" s="37" customFormat="1" ht="30" customHeight="1">
      <c r="A230" s="20"/>
      <c r="B230" s="94" t="str">
        <f>'2026'!B230</f>
        <v>7C-05.○○クラス（xxxxx）</v>
      </c>
      <c r="C230" s="95" t="str">
        <f>'2026'!C230</f>
        <v xml:space="preserve"> </v>
      </c>
      <c r="D230" s="96" t="str">
        <f>'2026'!D230</f>
        <v xml:space="preserve"> </v>
      </c>
      <c r="E230" s="97" t="str">
        <f>'2026'!E230</f>
        <v xml:space="preserve"> </v>
      </c>
      <c r="F230" s="97" t="str">
        <f>'2026'!F230</f>
        <v xml:space="preserve"> </v>
      </c>
      <c r="G230" s="36"/>
      <c r="H230" s="36" t="e">
        <f ca="1">IF(OR(ISBLANK(タスク_開始),ISBLANK(タスク_終了)),"",タスク_終了-タスク_開始+1)</f>
        <v>#VALUE!</v>
      </c>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row>
    <row r="231" spans="1:64" s="37" customFormat="1" ht="30" customHeight="1">
      <c r="A231" s="20"/>
      <c r="B231" s="94" t="str">
        <f>'2026'!B231</f>
        <v>7C-06.○○クラス（xxxxx）</v>
      </c>
      <c r="C231" s="95" t="str">
        <f>'2026'!C231</f>
        <v xml:space="preserve"> </v>
      </c>
      <c r="D231" s="96" t="str">
        <f>'2026'!D231</f>
        <v xml:space="preserve"> </v>
      </c>
      <c r="E231" s="97" t="str">
        <f>'2026'!E231</f>
        <v xml:space="preserve"> </v>
      </c>
      <c r="F231" s="97" t="str">
        <f>'2026'!F231</f>
        <v xml:space="preserve"> </v>
      </c>
      <c r="G231" s="36"/>
      <c r="H231" s="36" t="e">
        <f ca="1">IF(OR(ISBLANK(タスク_開始),ISBLANK(タスク_終了)),"",タスク_終了-タスク_開始+1)</f>
        <v>#VALUE!</v>
      </c>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row>
    <row r="232" spans="1:64" s="37" customFormat="1" ht="30" customHeight="1">
      <c r="A232" s="20"/>
      <c r="B232" s="94" t="str">
        <f>'2026'!B232</f>
        <v>7C-07.○○クラス（xxxxx）</v>
      </c>
      <c r="C232" s="95" t="str">
        <f>'2026'!C232</f>
        <v xml:space="preserve"> </v>
      </c>
      <c r="D232" s="96" t="str">
        <f>'2026'!D232</f>
        <v xml:space="preserve"> </v>
      </c>
      <c r="E232" s="97" t="str">
        <f>'2026'!E232</f>
        <v xml:space="preserve"> </v>
      </c>
      <c r="F232" s="97" t="str">
        <f>'2026'!F232</f>
        <v xml:space="preserve"> </v>
      </c>
      <c r="G232" s="36"/>
      <c r="H232" s="36" t="e">
        <f ca="1">IF(OR(ISBLANK(タスク_開始),ISBLANK(タスク_終了)),"",タスク_終了-タスク_開始+1)</f>
        <v>#VALUE!</v>
      </c>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row>
    <row r="233" spans="1:64" s="37" customFormat="1" ht="30" customHeight="1">
      <c r="A233" s="20"/>
      <c r="B233" s="94" t="str">
        <f>'2026'!B233</f>
        <v>7C-08.○○クラス（xxxxx）</v>
      </c>
      <c r="C233" s="95" t="str">
        <f>'2026'!C233</f>
        <v xml:space="preserve"> </v>
      </c>
      <c r="D233" s="96" t="str">
        <f>'2026'!D233</f>
        <v xml:space="preserve"> </v>
      </c>
      <c r="E233" s="97" t="str">
        <f>'2026'!E233</f>
        <v xml:space="preserve"> </v>
      </c>
      <c r="F233" s="97" t="str">
        <f>'2026'!F233</f>
        <v xml:space="preserve"> </v>
      </c>
      <c r="G233" s="36"/>
      <c r="H233" s="36" t="e">
        <f ca="1">IF(OR(ISBLANK(タスク_開始),ISBLANK(タスク_終了)),"",タスク_終了-タスク_開始+1)</f>
        <v>#VALUE!</v>
      </c>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row>
    <row r="234" spans="1:64" s="37" customFormat="1" ht="30" customHeight="1">
      <c r="A234" s="20"/>
      <c r="B234" s="94" t="str">
        <f>'2026'!B234</f>
        <v>7C-09.○○クラス（xxxxx）</v>
      </c>
      <c r="C234" s="95" t="str">
        <f>'2026'!C234</f>
        <v xml:space="preserve"> </v>
      </c>
      <c r="D234" s="96" t="str">
        <f>'2026'!D234</f>
        <v xml:space="preserve"> </v>
      </c>
      <c r="E234" s="97" t="str">
        <f>'2026'!E234</f>
        <v xml:space="preserve"> </v>
      </c>
      <c r="F234" s="97" t="str">
        <f>'2026'!F234</f>
        <v xml:space="preserve"> </v>
      </c>
      <c r="G234" s="36"/>
      <c r="H234" s="36" t="e">
        <f ca="1">IF(OR(ISBLANK(タスク_開始),ISBLANK(タスク_終了)),"",タスク_終了-タスク_開始+1)</f>
        <v>#VALUE!</v>
      </c>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row>
    <row r="235" spans="1:64" s="37" customFormat="1" ht="30" customHeight="1">
      <c r="A235" s="20"/>
      <c r="B235" s="94" t="str">
        <f>'2026'!B235</f>
        <v>7C-10.○○クラス（xxxxx）</v>
      </c>
      <c r="C235" s="95" t="str">
        <f>'2026'!C235</f>
        <v xml:space="preserve"> </v>
      </c>
      <c r="D235" s="96" t="str">
        <f>'2026'!D235</f>
        <v xml:space="preserve"> </v>
      </c>
      <c r="E235" s="97" t="str">
        <f>'2026'!E235</f>
        <v xml:space="preserve"> </v>
      </c>
      <c r="F235" s="97" t="str">
        <f>'2026'!F235</f>
        <v xml:space="preserve"> </v>
      </c>
      <c r="G235" s="36"/>
      <c r="H235" s="36" t="e">
        <f ca="1">IF(OR(ISBLANK(タスク_開始),ISBLANK(タスク_終了)),"",タスク_終了-タスク_開始+1)</f>
        <v>#VALUE!</v>
      </c>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row>
    <row r="236" outlineLevel="1" hidden="1" spans="1:64" s="37" customFormat="1" ht="30" customHeight="1">
      <c r="A236" s="20"/>
      <c r="B236" s="94" t="str">
        <f>'2026'!B236</f>
        <v>7C-11.○○クラス（xxxxx）</v>
      </c>
      <c r="C236" s="95" t="str">
        <f>'2026'!C236</f>
        <v xml:space="preserve"> </v>
      </c>
      <c r="D236" s="96" t="str">
        <f>'2026'!D236</f>
        <v xml:space="preserve"> </v>
      </c>
      <c r="E236" s="97" t="str">
        <f>'2026'!E236</f>
        <v xml:space="preserve"> </v>
      </c>
      <c r="F236" s="97" t="str">
        <f>'2026'!F236</f>
        <v xml:space="preserve"> </v>
      </c>
      <c r="G236" s="36"/>
      <c r="H236" s="36" t="e">
        <f ca="1">IF(OR(ISBLANK(タスク_開始),ISBLANK(タスク_終了)),"",タスク_終了-タスク_開始+1)</f>
        <v>#VALUE!</v>
      </c>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row>
    <row r="237" outlineLevel="1" hidden="1" spans="1:64" s="37" customFormat="1" ht="30" customHeight="1">
      <c r="A237" s="20"/>
      <c r="B237" s="94" t="str">
        <f>'2026'!B237</f>
        <v>7C-12.○○クラス（xxxxx）</v>
      </c>
      <c r="C237" s="95" t="str">
        <f>'2026'!C237</f>
        <v xml:space="preserve"> </v>
      </c>
      <c r="D237" s="96" t="str">
        <f>'2026'!D237</f>
        <v xml:space="preserve"> </v>
      </c>
      <c r="E237" s="97" t="str">
        <f>'2026'!E237</f>
        <v xml:space="preserve"> </v>
      </c>
      <c r="F237" s="97" t="str">
        <f>'2026'!F237</f>
        <v xml:space="preserve"> </v>
      </c>
      <c r="G237" s="36"/>
      <c r="H237" s="36" t="e">
        <f ca="1">IF(OR(ISBLANK(タスク_開始),ISBLANK(タスク_終了)),"",タスク_終了-タスク_開始+1)</f>
        <v>#VALUE!</v>
      </c>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row>
    <row r="238" outlineLevel="1" hidden="1" spans="1:64" s="37" customFormat="1" ht="30" customHeight="1">
      <c r="A238" s="20"/>
      <c r="B238" s="94" t="str">
        <f>'2026'!B238</f>
        <v>7C-13.○○クラス（xxxxx）</v>
      </c>
      <c r="C238" s="95" t="str">
        <f>'2026'!C238</f>
        <v xml:space="preserve"> </v>
      </c>
      <c r="D238" s="96" t="str">
        <f>'2026'!D238</f>
        <v xml:space="preserve"> </v>
      </c>
      <c r="E238" s="97" t="str">
        <f>'2026'!E238</f>
        <v xml:space="preserve"> </v>
      </c>
      <c r="F238" s="97" t="str">
        <f>'2026'!F238</f>
        <v xml:space="preserve"> </v>
      </c>
      <c r="G238" s="36"/>
      <c r="H238" s="36" t="e">
        <f ca="1">IF(OR(ISBLANK(タスク_開始),ISBLANK(タスク_終了)),"",タスク_終了-タスク_開始+1)</f>
        <v>#VALUE!</v>
      </c>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row>
    <row r="239" outlineLevel="1" hidden="1" spans="1:64" s="37" customFormat="1" ht="30" customHeight="1">
      <c r="A239" s="20"/>
      <c r="B239" s="94" t="str">
        <f>'2026'!B239</f>
        <v>7C-14.○○クラス（xxxxx）</v>
      </c>
      <c r="C239" s="95" t="str">
        <f>'2026'!C239</f>
        <v xml:space="preserve"> </v>
      </c>
      <c r="D239" s="96" t="str">
        <f>'2026'!D239</f>
        <v xml:space="preserve"> </v>
      </c>
      <c r="E239" s="97" t="str">
        <f>'2026'!E239</f>
        <v xml:space="preserve"> </v>
      </c>
      <c r="F239" s="97" t="str">
        <f>'2026'!F239</f>
        <v xml:space="preserve"> </v>
      </c>
      <c r="G239" s="36"/>
      <c r="H239" s="36" t="e">
        <f ca="1">IF(OR(ISBLANK(タスク_開始),ISBLANK(タスク_終了)),"",タスク_終了-タスク_開始+1)</f>
        <v>#VALUE!</v>
      </c>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row>
    <row r="240" outlineLevel="1" hidden="1" spans="1:64" s="37" customFormat="1" ht="30" customHeight="1">
      <c r="A240" s="20"/>
      <c r="B240" s="94" t="str">
        <f>'2026'!B240</f>
        <v>7C-15.○○クラス（xxxxx）</v>
      </c>
      <c r="C240" s="95" t="str">
        <f>'2026'!C240</f>
        <v xml:space="preserve"> </v>
      </c>
      <c r="D240" s="96" t="str">
        <f>'2026'!D240</f>
        <v xml:space="preserve"> </v>
      </c>
      <c r="E240" s="97" t="str">
        <f>'2026'!E240</f>
        <v xml:space="preserve"> </v>
      </c>
      <c r="F240" s="97" t="str">
        <f>'2026'!F240</f>
        <v xml:space="preserve"> </v>
      </c>
      <c r="G240" s="36"/>
      <c r="H240" s="36" t="e">
        <f ca="1">IF(OR(ISBLANK(タスク_開始),ISBLANK(タスク_終了)),"",タスク_終了-タスク_開始+1)</f>
        <v>#VALUE!</v>
      </c>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row>
    <row r="241" outlineLevel="1" hidden="1" spans="1:64" s="37" customFormat="1" ht="30" customHeight="1">
      <c r="A241" s="20"/>
      <c r="B241" s="94" t="str">
        <f>'2026'!B241</f>
        <v>7C-16.○○クラス（xxxxx）</v>
      </c>
      <c r="C241" s="95" t="str">
        <f>'2026'!C241</f>
        <v xml:space="preserve"> </v>
      </c>
      <c r="D241" s="96" t="str">
        <f>'2026'!D241</f>
        <v xml:space="preserve"> </v>
      </c>
      <c r="E241" s="97" t="str">
        <f>'2026'!E241</f>
        <v xml:space="preserve"> </v>
      </c>
      <c r="F241" s="97" t="str">
        <f>'2026'!F241</f>
        <v xml:space="preserve"> </v>
      </c>
      <c r="G241" s="36"/>
      <c r="H241" s="36" t="e">
        <f ca="1">IF(OR(ISBLANK(タスク_開始),ISBLANK(タスク_終了)),"",タスク_終了-タスク_開始+1)</f>
        <v>#VALUE!</v>
      </c>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row>
    <row r="242" outlineLevel="1" hidden="1" spans="1:64" s="37" customFormat="1" ht="30" customHeight="1">
      <c r="A242" s="20"/>
      <c r="B242" s="94" t="str">
        <f>'2026'!B242</f>
        <v>7C-17.○○クラス（xxxxx）</v>
      </c>
      <c r="C242" s="95" t="str">
        <f>'2026'!C242</f>
        <v xml:space="preserve"> </v>
      </c>
      <c r="D242" s="96" t="str">
        <f>'2026'!D242</f>
        <v xml:space="preserve"> </v>
      </c>
      <c r="E242" s="97" t="str">
        <f>'2026'!E242</f>
        <v xml:space="preserve"> </v>
      </c>
      <c r="F242" s="97" t="str">
        <f>'2026'!F242</f>
        <v xml:space="preserve"> </v>
      </c>
      <c r="G242" s="36"/>
      <c r="H242" s="36" t="e">
        <f ca="1">IF(OR(ISBLANK(タスク_開始),ISBLANK(タスク_終了)),"",タスク_終了-タスク_開始+1)</f>
        <v>#VALUE!</v>
      </c>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row>
    <row r="243" outlineLevel="1" hidden="1" spans="1:64" s="37" customFormat="1" ht="30" customHeight="1">
      <c r="A243" s="20"/>
      <c r="B243" s="94" t="str">
        <f>'2026'!B243</f>
        <v>7C-18.○○クラス（xxxxx）</v>
      </c>
      <c r="C243" s="95" t="str">
        <f>'2026'!C243</f>
        <v xml:space="preserve"> </v>
      </c>
      <c r="D243" s="96" t="str">
        <f>'2026'!D243</f>
        <v xml:space="preserve"> </v>
      </c>
      <c r="E243" s="97" t="str">
        <f>'2026'!E243</f>
        <v xml:space="preserve"> </v>
      </c>
      <c r="F243" s="97" t="str">
        <f>'2026'!F243</f>
        <v xml:space="preserve"> </v>
      </c>
      <c r="G243" s="36"/>
      <c r="H243" s="36" t="e">
        <f ca="1">IF(OR(ISBLANK(タスク_開始),ISBLANK(タスク_終了)),"",タスク_終了-タスク_開始+1)</f>
        <v>#VALUE!</v>
      </c>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row>
    <row r="244" outlineLevel="1" hidden="1" spans="1:64" s="37" customFormat="1" ht="30" customHeight="1">
      <c r="A244" s="20"/>
      <c r="B244" s="94" t="str">
        <f>'2026'!B244</f>
        <v>7C-19.○○クラス（xxxxx）</v>
      </c>
      <c r="C244" s="95" t="str">
        <f>'2026'!C244</f>
        <v xml:space="preserve"> </v>
      </c>
      <c r="D244" s="96" t="str">
        <f>'2026'!D244</f>
        <v xml:space="preserve"> </v>
      </c>
      <c r="E244" s="97" t="str">
        <f>'2026'!E244</f>
        <v xml:space="preserve"> </v>
      </c>
      <c r="F244" s="97" t="str">
        <f>'2026'!F244</f>
        <v xml:space="preserve"> </v>
      </c>
      <c r="G244" s="36"/>
      <c r="H244" s="36" t="e">
        <f ca="1">IF(OR(ISBLANK(タスク_開始),ISBLANK(タスク_終了)),"",タスク_終了-タスク_開始+1)</f>
        <v>#VALUE!</v>
      </c>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row>
    <row r="245" outlineLevel="1" hidden="1" spans="1:64" s="37" customFormat="1" ht="30" customHeight="1">
      <c r="A245" s="20"/>
      <c r="B245" s="94" t="str">
        <f>'2026'!B245</f>
        <v>7C-20.○○クラス（xxxxx）</v>
      </c>
      <c r="C245" s="95" t="str">
        <f>'2026'!C245</f>
        <v xml:space="preserve"> </v>
      </c>
      <c r="D245" s="96" t="str">
        <f>'2026'!D245</f>
        <v xml:space="preserve"> </v>
      </c>
      <c r="E245" s="97" t="str">
        <f>'2026'!E245</f>
        <v xml:space="preserve"> </v>
      </c>
      <c r="F245" s="97" t="str">
        <f>'2026'!F245</f>
        <v xml:space="preserve"> </v>
      </c>
      <c r="G245" s="36"/>
      <c r="H245" s="36" t="e">
        <f ca="1">IF(OR(ISBLANK(タスク_開始),ISBLANK(タスク_終了)),"",タスク_終了-タスク_開始+1)</f>
        <v>#VALUE!</v>
      </c>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row>
    <row r="246" outlineLevel="1" hidden="1" spans="1:64" s="37" customFormat="1" ht="30" customHeight="1">
      <c r="A246" s="20"/>
      <c r="B246" s="94" t="str">
        <f>'2026'!B246</f>
        <v>7C-21.○○クラス（xxxxx）</v>
      </c>
      <c r="C246" s="95" t="str">
        <f>'2026'!C246</f>
        <v xml:space="preserve"> </v>
      </c>
      <c r="D246" s="96" t="str">
        <f>'2026'!D246</f>
        <v xml:space="preserve"> </v>
      </c>
      <c r="E246" s="97" t="str">
        <f>'2026'!E246</f>
        <v xml:space="preserve"> </v>
      </c>
      <c r="F246" s="97" t="str">
        <f>'2026'!F246</f>
        <v xml:space="preserve"> </v>
      </c>
      <c r="G246" s="36"/>
      <c r="H246" s="36" t="e">
        <f ca="1">IF(OR(ISBLANK(タスク_開始),ISBLANK(タスク_終了)),"",タスク_終了-タスク_開始+1)</f>
        <v>#VALUE!</v>
      </c>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row>
    <row r="247" outlineLevel="1" hidden="1" spans="1:64" s="37" customFormat="1" ht="30" customHeight="1">
      <c r="A247" s="20"/>
      <c r="B247" s="94" t="str">
        <f>'2026'!B247</f>
        <v>7C-22.○○クラス（xxxxx）</v>
      </c>
      <c r="C247" s="95" t="str">
        <f>'2026'!C247</f>
        <v xml:space="preserve"> </v>
      </c>
      <c r="D247" s="96" t="str">
        <f>'2026'!D247</f>
        <v xml:space="preserve"> </v>
      </c>
      <c r="E247" s="97" t="str">
        <f>'2026'!E247</f>
        <v xml:space="preserve"> </v>
      </c>
      <c r="F247" s="97" t="str">
        <f>'2026'!F247</f>
        <v xml:space="preserve"> </v>
      </c>
      <c r="G247" s="36"/>
      <c r="H247" s="36" t="e">
        <f ca="1">IF(OR(ISBLANK(タスク_開始),ISBLANK(タスク_終了)),"",タスク_終了-タスク_開始+1)</f>
        <v>#VALUE!</v>
      </c>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row>
    <row r="248" outlineLevel="1" hidden="1" spans="1:64" s="37" customFormat="1" ht="30" customHeight="1">
      <c r="A248" s="20"/>
      <c r="B248" s="94" t="str">
        <f>'2026'!B248</f>
        <v>7C-23.○○クラス（xxxxx）</v>
      </c>
      <c r="C248" s="95" t="str">
        <f>'2026'!C248</f>
        <v xml:space="preserve"> </v>
      </c>
      <c r="D248" s="96" t="str">
        <f>'2026'!D248</f>
        <v xml:space="preserve"> </v>
      </c>
      <c r="E248" s="97" t="str">
        <f>'2026'!E248</f>
        <v xml:space="preserve"> </v>
      </c>
      <c r="F248" s="97" t="str">
        <f>'2026'!F248</f>
        <v xml:space="preserve"> </v>
      </c>
      <c r="G248" s="36"/>
      <c r="H248" s="36" t="e">
        <f ca="1">IF(OR(ISBLANK(タスク_開始),ISBLANK(タスク_終了)),"",タスク_終了-タスク_開始+1)</f>
        <v>#VALUE!</v>
      </c>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row>
    <row r="249" outlineLevel="1" hidden="1" spans="1:64" s="37" customFormat="1" ht="30" customHeight="1">
      <c r="A249" s="20"/>
      <c r="B249" s="94" t="str">
        <f>'2026'!B249</f>
        <v>7C-24.○○クラス（xxxxx）</v>
      </c>
      <c r="C249" s="95" t="str">
        <f>'2026'!C249</f>
        <v xml:space="preserve"> </v>
      </c>
      <c r="D249" s="96" t="str">
        <f>'2026'!D249</f>
        <v xml:space="preserve"> </v>
      </c>
      <c r="E249" s="97" t="str">
        <f>'2026'!E249</f>
        <v xml:space="preserve"> </v>
      </c>
      <c r="F249" s="97" t="str">
        <f>'2026'!F249</f>
        <v xml:space="preserve"> </v>
      </c>
      <c r="G249" s="36"/>
      <c r="H249" s="36" t="e">
        <f ca="1">IF(OR(ISBLANK(タスク_開始),ISBLANK(タスク_終了)),"",タスク_終了-タスク_開始+1)</f>
        <v>#VALUE!</v>
      </c>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row>
    <row r="250" outlineLevel="1" hidden="1" spans="1:64" s="37" customFormat="1" ht="30" customHeight="1">
      <c r="A250" s="20"/>
      <c r="B250" s="94" t="str">
        <f>'2026'!B250</f>
        <v>7C-25.○○クラス（xxxxx）</v>
      </c>
      <c r="C250" s="95" t="str">
        <f>'2026'!C250</f>
        <v xml:space="preserve"> </v>
      </c>
      <c r="D250" s="96" t="str">
        <f>'2026'!D250</f>
        <v xml:space="preserve"> </v>
      </c>
      <c r="E250" s="97" t="str">
        <f>'2026'!E250</f>
        <v xml:space="preserve"> </v>
      </c>
      <c r="F250" s="97" t="str">
        <f>'2026'!F250</f>
        <v xml:space="preserve"> </v>
      </c>
      <c r="G250" s="36"/>
      <c r="H250" s="36" t="e">
        <f ca="1">IF(OR(ISBLANK(タスク_開始),ISBLANK(タスク_終了)),"",タスク_終了-タスク_開始+1)</f>
        <v>#VALUE!</v>
      </c>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row>
    <row r="251" outlineLevel="1" hidden="1" spans="1:64" s="37" customFormat="1" ht="30" customHeight="1">
      <c r="A251" s="20"/>
      <c r="B251" s="94" t="str">
        <f>'2026'!B251</f>
        <v>7C-26.○○クラス（xxxxx）</v>
      </c>
      <c r="C251" s="95" t="str">
        <f>'2026'!C251</f>
        <v xml:space="preserve"> </v>
      </c>
      <c r="D251" s="96" t="str">
        <f>'2026'!D251</f>
        <v xml:space="preserve"> </v>
      </c>
      <c r="E251" s="97" t="str">
        <f>'2026'!E251</f>
        <v xml:space="preserve"> </v>
      </c>
      <c r="F251" s="97" t="str">
        <f>'2026'!F251</f>
        <v xml:space="preserve"> </v>
      </c>
      <c r="G251" s="36"/>
      <c r="H251" s="36" t="e">
        <f ca="1">IF(OR(ISBLANK(タスク_開始),ISBLANK(タスク_終了)),"",タスク_終了-タスク_開始+1)</f>
        <v>#VALUE!</v>
      </c>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row>
    <row r="252" outlineLevel="1" hidden="1" spans="1:64" s="37" customFormat="1" ht="30" customHeight="1">
      <c r="A252" s="20"/>
      <c r="B252" s="94" t="str">
        <f>'2026'!B252</f>
        <v>7C-27.○○クラス（xxxxx）</v>
      </c>
      <c r="C252" s="95" t="str">
        <f>'2026'!C252</f>
        <v xml:space="preserve"> </v>
      </c>
      <c r="D252" s="96" t="str">
        <f>'2026'!D252</f>
        <v xml:space="preserve"> </v>
      </c>
      <c r="E252" s="97" t="str">
        <f>'2026'!E252</f>
        <v xml:space="preserve"> </v>
      </c>
      <c r="F252" s="97" t="str">
        <f>'2026'!F252</f>
        <v xml:space="preserve"> </v>
      </c>
      <c r="G252" s="36"/>
      <c r="H252" s="36" t="e">
        <f ca="1">IF(OR(ISBLANK(タスク_開始),ISBLANK(タスク_終了)),"",タスク_終了-タスク_開始+1)</f>
        <v>#VALUE!</v>
      </c>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row>
    <row r="253" outlineLevel="1" hidden="1" spans="1:64" s="37" customFormat="1" ht="30" customHeight="1">
      <c r="A253" s="20"/>
      <c r="B253" s="94" t="str">
        <f>'2026'!B253</f>
        <v>7C-28.○○クラス（xxxxx）</v>
      </c>
      <c r="C253" s="95" t="str">
        <f>'2026'!C253</f>
        <v xml:space="preserve"> </v>
      </c>
      <c r="D253" s="96" t="str">
        <f>'2026'!D253</f>
        <v xml:space="preserve"> </v>
      </c>
      <c r="E253" s="97" t="str">
        <f>'2026'!E253</f>
        <v xml:space="preserve"> </v>
      </c>
      <c r="F253" s="97" t="str">
        <f>'2026'!F253</f>
        <v xml:space="preserve"> </v>
      </c>
      <c r="G253" s="36"/>
      <c r="H253" s="36" t="e">
        <f ca="1">IF(OR(ISBLANK(タスク_開始),ISBLANK(タスク_終了)),"",タスク_終了-タスク_開始+1)</f>
        <v>#VALUE!</v>
      </c>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row>
    <row r="254" outlineLevel="1" hidden="1" spans="1:64" s="37" customFormat="1" ht="30" customHeight="1">
      <c r="A254" s="20"/>
      <c r="B254" s="94" t="str">
        <f>'2026'!B254</f>
        <v>7C-29.○○クラス（xxxxx）</v>
      </c>
      <c r="C254" s="95" t="str">
        <f>'2026'!C254</f>
        <v xml:space="preserve"> </v>
      </c>
      <c r="D254" s="96" t="str">
        <f>'2026'!D254</f>
        <v xml:space="preserve"> </v>
      </c>
      <c r="E254" s="97" t="str">
        <f>'2026'!E254</f>
        <v xml:space="preserve"> </v>
      </c>
      <c r="F254" s="97" t="str">
        <f>'2026'!F254</f>
        <v xml:space="preserve"> </v>
      </c>
      <c r="G254" s="36"/>
      <c r="H254" s="36" t="e">
        <f ca="1">IF(OR(ISBLANK(タスク_開始),ISBLANK(タスク_終了)),"",タスク_終了-タスク_開始+1)</f>
        <v>#VALUE!</v>
      </c>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row>
    <row r="255" outlineLevel="1" hidden="1" spans="1:64" s="37" customFormat="1" ht="30" customHeight="1">
      <c r="A255" s="20"/>
      <c r="B255" s="94" t="str">
        <f>'2026'!B255</f>
        <v>7C-30.○○クラス（xxxxx）</v>
      </c>
      <c r="C255" s="95" t="str">
        <f>'2026'!C255</f>
        <v xml:space="preserve"> </v>
      </c>
      <c r="D255" s="96" t="str">
        <f>'2026'!D255</f>
        <v xml:space="preserve"> </v>
      </c>
      <c r="E255" s="97" t="str">
        <f>'2026'!E255</f>
        <v xml:space="preserve"> </v>
      </c>
      <c r="F255" s="97" t="str">
        <f>'2026'!F255</f>
        <v xml:space="preserve"> </v>
      </c>
      <c r="G255" s="36"/>
      <c r="H255" s="36" t="e">
        <f ca="1">IF(OR(ISBLANK(タスク_開始),ISBLANK(タスク_終了)),"",タスク_終了-タスク_開始+1)</f>
        <v>#VALUE!</v>
      </c>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row>
    <row r="256" collapsed="1" spans="1:64" s="37" customFormat="1" ht="30" customHeight="1">
      <c r="A256" s="20" t="s">
        <v>74</v>
      </c>
      <c r="B256" s="89" t="s">
        <v>274</v>
      </c>
      <c r="C256" s="90"/>
      <c r="D256" s="91"/>
      <c r="E256" s="92"/>
      <c r="F256" s="93"/>
      <c r="G256" s="36"/>
      <c r="H256" s="36" t="str">
        <f ca="1">IF(OR(ISBLANK(タスク_開始),ISBLANK(タスク_終了)),"",タスク_終了-タスク_開始+1)</f>
        <v/>
      </c>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row>
    <row r="257" spans="1:64" s="37" customFormat="1" ht="30" customHeight="1">
      <c r="A257" s="20"/>
      <c r="B257" s="94" t="str">
        <f>'2026'!B257</f>
        <v>7D-01.○○機能</v>
      </c>
      <c r="C257" s="95" t="str">
        <f>'2026'!C257</f>
        <v xml:space="preserve"> </v>
      </c>
      <c r="D257" s="96" t="str">
        <f>'2026'!D257</f>
        <v xml:space="preserve"> </v>
      </c>
      <c r="E257" s="97" t="str">
        <f>'2026'!E257</f>
        <v xml:space="preserve"> </v>
      </c>
      <c r="F257" s="97" t="str">
        <f>'2026'!F257</f>
        <v xml:space="preserve"> </v>
      </c>
      <c r="G257" s="36"/>
      <c r="H257" s="36" t="e">
        <f ca="1">IF(OR(ISBLANK(タスク_開始),ISBLANK(タスク_終了)),"",タスク_終了-タスク_開始+1)</f>
        <v>#VALUE!</v>
      </c>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row>
    <row r="258" spans="1:64" s="37" customFormat="1" ht="30" customHeight="1">
      <c r="A258" s="20"/>
      <c r="B258" s="94" t="str">
        <f>'2026'!B258</f>
        <v>7D-02.○○機能</v>
      </c>
      <c r="C258" s="95" t="str">
        <f>'2026'!C258</f>
        <v xml:space="preserve"> </v>
      </c>
      <c r="D258" s="96" t="str">
        <f>'2026'!D258</f>
        <v xml:space="preserve"> </v>
      </c>
      <c r="E258" s="97" t="str">
        <f>'2026'!E258</f>
        <v xml:space="preserve"> </v>
      </c>
      <c r="F258" s="97" t="str">
        <f>'2026'!F258</f>
        <v xml:space="preserve"> </v>
      </c>
      <c r="G258" s="36"/>
      <c r="H258" s="36" t="e">
        <f ca="1">IF(OR(ISBLANK(タスク_開始),ISBLANK(タスク_終了)),"",タスク_終了-タスク_開始+1)</f>
        <v>#VALUE!</v>
      </c>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row>
    <row r="259" spans="1:64" s="37" customFormat="1" ht="30" customHeight="1">
      <c r="A259" s="20"/>
      <c r="B259" s="94" t="str">
        <f>'2026'!B259</f>
        <v>7D-03.○○機能</v>
      </c>
      <c r="C259" s="95" t="str">
        <f>'2026'!C259</f>
        <v xml:space="preserve"> </v>
      </c>
      <c r="D259" s="96" t="str">
        <f>'2026'!D259</f>
        <v xml:space="preserve"> </v>
      </c>
      <c r="E259" s="97" t="str">
        <f>'2026'!E259</f>
        <v xml:space="preserve"> </v>
      </c>
      <c r="F259" s="97" t="str">
        <f>'2026'!F259</f>
        <v xml:space="preserve"> </v>
      </c>
      <c r="G259" s="36"/>
      <c r="H259" s="36" t="e">
        <f ca="1">IF(OR(ISBLANK(タスク_開始),ISBLANK(タスク_終了)),"",タスク_終了-タスク_開始+1)</f>
        <v>#VALUE!</v>
      </c>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row>
    <row r="260" spans="1:64" s="37" customFormat="1" ht="30" customHeight="1">
      <c r="A260" s="20"/>
      <c r="B260" s="94" t="str">
        <f>'2026'!B260</f>
        <v>7D-04.○○機能</v>
      </c>
      <c r="C260" s="95" t="str">
        <f>'2026'!C260</f>
        <v xml:space="preserve"> </v>
      </c>
      <c r="D260" s="96" t="str">
        <f>'2026'!D260</f>
        <v xml:space="preserve"> </v>
      </c>
      <c r="E260" s="97" t="str">
        <f>'2026'!E260</f>
        <v xml:space="preserve"> </v>
      </c>
      <c r="F260" s="97" t="str">
        <f>'2026'!F260</f>
        <v xml:space="preserve"> </v>
      </c>
      <c r="G260" s="36"/>
      <c r="H260" s="36" t="e">
        <f ca="1">IF(OR(ISBLANK(タスク_開始),ISBLANK(タスク_終了)),"",タスク_終了-タスク_開始+1)</f>
        <v>#VALUE!</v>
      </c>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row>
    <row r="261" spans="1:64" s="37" customFormat="1" ht="30" customHeight="1">
      <c r="A261" s="20"/>
      <c r="B261" s="94" t="str">
        <f>'2026'!B261</f>
        <v>7D-05.○○機能</v>
      </c>
      <c r="C261" s="95" t="str">
        <f>'2026'!C261</f>
        <v xml:space="preserve"> </v>
      </c>
      <c r="D261" s="96" t="str">
        <f>'2026'!D261</f>
        <v xml:space="preserve"> </v>
      </c>
      <c r="E261" s="97" t="str">
        <f>'2026'!E261</f>
        <v xml:space="preserve"> </v>
      </c>
      <c r="F261" s="97" t="str">
        <f>'2026'!F261</f>
        <v xml:space="preserve"> </v>
      </c>
      <c r="G261" s="36"/>
      <c r="H261" s="36" t="e">
        <f ca="1">IF(OR(ISBLANK(タスク_開始),ISBLANK(タスク_終了)),"",タスク_終了-タスク_開始+1)</f>
        <v>#VALUE!</v>
      </c>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row>
    <row r="262" spans="1:64" s="37" customFormat="1" ht="30" customHeight="1">
      <c r="A262" s="20"/>
      <c r="B262" s="94" t="str">
        <f>'2026'!B262</f>
        <v>7D-06.○○機能</v>
      </c>
      <c r="C262" s="95" t="str">
        <f>'2026'!C262</f>
        <v xml:space="preserve"> </v>
      </c>
      <c r="D262" s="96" t="str">
        <f>'2026'!D262</f>
        <v xml:space="preserve"> </v>
      </c>
      <c r="E262" s="97" t="str">
        <f>'2026'!E262</f>
        <v xml:space="preserve"> </v>
      </c>
      <c r="F262" s="97" t="str">
        <f>'2026'!F262</f>
        <v xml:space="preserve"> </v>
      </c>
      <c r="G262" s="36"/>
      <c r="H262" s="36" t="e">
        <f ca="1">IF(OR(ISBLANK(タスク_開始),ISBLANK(タスク_終了)),"",タスク_終了-タスク_開始+1)</f>
        <v>#VALUE!</v>
      </c>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row>
    <row r="263" spans="1:64" s="37" customFormat="1" ht="30" customHeight="1">
      <c r="A263" s="20"/>
      <c r="B263" s="94" t="str">
        <f>'2026'!B263</f>
        <v>7D-07.○○機能</v>
      </c>
      <c r="C263" s="95" t="str">
        <f>'2026'!C263</f>
        <v xml:space="preserve"> </v>
      </c>
      <c r="D263" s="96" t="str">
        <f>'2026'!D263</f>
        <v xml:space="preserve"> </v>
      </c>
      <c r="E263" s="97" t="str">
        <f>'2026'!E263</f>
        <v xml:space="preserve"> </v>
      </c>
      <c r="F263" s="97" t="str">
        <f>'2026'!F263</f>
        <v xml:space="preserve"> </v>
      </c>
      <c r="G263" s="36"/>
      <c r="H263" s="36" t="e">
        <f ca="1">IF(OR(ISBLANK(タスク_開始),ISBLANK(タスク_終了)),"",タスク_終了-タスク_開始+1)</f>
        <v>#VALUE!</v>
      </c>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row>
    <row r="264" spans="1:64" s="37" customFormat="1" ht="30" customHeight="1">
      <c r="A264" s="20"/>
      <c r="B264" s="94" t="str">
        <f>'2026'!B264</f>
        <v>7D-08.○○機能</v>
      </c>
      <c r="C264" s="95" t="str">
        <f>'2026'!C264</f>
        <v xml:space="preserve"> </v>
      </c>
      <c r="D264" s="96" t="str">
        <f>'2026'!D264</f>
        <v xml:space="preserve"> </v>
      </c>
      <c r="E264" s="97" t="str">
        <f>'2026'!E264</f>
        <v xml:space="preserve"> </v>
      </c>
      <c r="F264" s="97" t="str">
        <f>'2026'!F264</f>
        <v xml:space="preserve"> </v>
      </c>
      <c r="G264" s="36"/>
      <c r="H264" s="36" t="e">
        <f ca="1">IF(OR(ISBLANK(タスク_開始),ISBLANK(タスク_終了)),"",タスク_終了-タスク_開始+1)</f>
        <v>#VALUE!</v>
      </c>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row>
    <row r="265" spans="1:64" s="37" customFormat="1" ht="30" customHeight="1">
      <c r="A265" s="20"/>
      <c r="B265" s="94" t="str">
        <f>'2026'!B265</f>
        <v>7D-09.○○機能</v>
      </c>
      <c r="C265" s="95" t="str">
        <f>'2026'!C265</f>
        <v xml:space="preserve"> </v>
      </c>
      <c r="D265" s="96" t="str">
        <f>'2026'!D265</f>
        <v xml:space="preserve"> </v>
      </c>
      <c r="E265" s="97" t="str">
        <f>'2026'!E265</f>
        <v xml:space="preserve"> </v>
      </c>
      <c r="F265" s="97" t="str">
        <f>'2026'!F265</f>
        <v xml:space="preserve"> </v>
      </c>
      <c r="G265" s="36"/>
      <c r="H265" s="36" t="e">
        <f ca="1">IF(OR(ISBLANK(タスク_開始),ISBLANK(タスク_終了)),"",タスク_終了-タスク_開始+1)</f>
        <v>#VALUE!</v>
      </c>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row>
    <row r="266" spans="1:64" s="37" customFormat="1" ht="30" customHeight="1">
      <c r="A266" s="20"/>
      <c r="B266" s="94" t="str">
        <f>'2026'!B266</f>
        <v>7D-10.○○機能</v>
      </c>
      <c r="C266" s="95" t="str">
        <f>'2026'!C266</f>
        <v xml:space="preserve"> </v>
      </c>
      <c r="D266" s="96" t="str">
        <f>'2026'!D266</f>
        <v xml:space="preserve"> </v>
      </c>
      <c r="E266" s="97" t="str">
        <f>'2026'!E266</f>
        <v xml:space="preserve"> </v>
      </c>
      <c r="F266" s="97" t="str">
        <f>'2026'!F266</f>
        <v xml:space="preserve"> </v>
      </c>
      <c r="G266" s="36"/>
      <c r="H266" s="36" t="e">
        <f ca="1">IF(OR(ISBLANK(タスク_開始),ISBLANK(タスク_終了)),"",タスク_終了-タスク_開始+1)</f>
        <v>#VALUE!</v>
      </c>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row>
    <row r="267" outlineLevel="1" hidden="1" spans="1:64" s="37" customFormat="1" ht="30" customHeight="1">
      <c r="A267" s="20"/>
      <c r="B267" s="94" t="str">
        <f>'2026'!B267</f>
        <v>7D-11.○○機能</v>
      </c>
      <c r="C267" s="95" t="str">
        <f>'2026'!C267</f>
        <v xml:space="preserve"> </v>
      </c>
      <c r="D267" s="96" t="str">
        <f>'2026'!D267</f>
        <v xml:space="preserve"> </v>
      </c>
      <c r="E267" s="97" t="str">
        <f>'2026'!E267</f>
        <v xml:space="preserve"> </v>
      </c>
      <c r="F267" s="97" t="str">
        <f>'2026'!F267</f>
        <v xml:space="preserve"> </v>
      </c>
      <c r="G267" s="36"/>
      <c r="H267" s="36" t="e">
        <f ca="1">IF(OR(ISBLANK(タスク_開始),ISBLANK(タスク_終了)),"",タスク_終了-タスク_開始+1)</f>
        <v>#VALUE!</v>
      </c>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row>
    <row r="268" outlineLevel="1" hidden="1" spans="1:64" s="37" customFormat="1" ht="30" customHeight="1">
      <c r="A268" s="20"/>
      <c r="B268" s="94" t="str">
        <f>'2026'!B268</f>
        <v>7D-12.○○機能</v>
      </c>
      <c r="C268" s="95" t="str">
        <f>'2026'!C268</f>
        <v xml:space="preserve"> </v>
      </c>
      <c r="D268" s="96" t="str">
        <f>'2026'!D268</f>
        <v xml:space="preserve"> </v>
      </c>
      <c r="E268" s="97" t="str">
        <f>'2026'!E268</f>
        <v xml:space="preserve"> </v>
      </c>
      <c r="F268" s="97" t="str">
        <f>'2026'!F268</f>
        <v xml:space="preserve"> </v>
      </c>
      <c r="G268" s="36"/>
      <c r="H268" s="36" t="e">
        <f ca="1">IF(OR(ISBLANK(タスク_開始),ISBLANK(タスク_終了)),"",タスク_終了-タスク_開始+1)</f>
        <v>#VALUE!</v>
      </c>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row>
    <row r="269" outlineLevel="1" hidden="1" spans="1:64" s="37" customFormat="1" ht="30" customHeight="1">
      <c r="A269" s="20"/>
      <c r="B269" s="94" t="str">
        <f>'2026'!B269</f>
        <v>7D-13.○○機能</v>
      </c>
      <c r="C269" s="95" t="str">
        <f>'2026'!C269</f>
        <v xml:space="preserve"> </v>
      </c>
      <c r="D269" s="96" t="str">
        <f>'2026'!D269</f>
        <v xml:space="preserve"> </v>
      </c>
      <c r="E269" s="97" t="str">
        <f>'2026'!E269</f>
        <v xml:space="preserve"> </v>
      </c>
      <c r="F269" s="97" t="str">
        <f>'2026'!F269</f>
        <v xml:space="preserve"> </v>
      </c>
      <c r="G269" s="36"/>
      <c r="H269" s="36" t="e">
        <f ca="1">IF(OR(ISBLANK(タスク_開始),ISBLANK(タスク_終了)),"",タスク_終了-タスク_開始+1)</f>
        <v>#VALUE!</v>
      </c>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row>
    <row r="270" outlineLevel="1" hidden="1" spans="1:64" s="37" customFormat="1" ht="30" customHeight="1">
      <c r="A270" s="20"/>
      <c r="B270" s="94" t="str">
        <f>'2026'!B270</f>
        <v>7D-14.○○機能</v>
      </c>
      <c r="C270" s="95" t="str">
        <f>'2026'!C270</f>
        <v xml:space="preserve"> </v>
      </c>
      <c r="D270" s="96" t="str">
        <f>'2026'!D270</f>
        <v xml:space="preserve"> </v>
      </c>
      <c r="E270" s="97" t="str">
        <f>'2026'!E270</f>
        <v xml:space="preserve"> </v>
      </c>
      <c r="F270" s="97" t="str">
        <f>'2026'!F270</f>
        <v xml:space="preserve"> </v>
      </c>
      <c r="G270" s="36"/>
      <c r="H270" s="36" t="e">
        <f ca="1">IF(OR(ISBLANK(タスク_開始),ISBLANK(タスク_終了)),"",タスク_終了-タスク_開始+1)</f>
        <v>#VALUE!</v>
      </c>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row>
    <row r="271" outlineLevel="1" hidden="1" spans="1:64" s="37" customFormat="1" ht="30" customHeight="1">
      <c r="A271" s="20"/>
      <c r="B271" s="94" t="str">
        <f>'2026'!B271</f>
        <v>7D-15.○○機能</v>
      </c>
      <c r="C271" s="95" t="str">
        <f>'2026'!C271</f>
        <v xml:space="preserve"> </v>
      </c>
      <c r="D271" s="96" t="str">
        <f>'2026'!D271</f>
        <v xml:space="preserve"> </v>
      </c>
      <c r="E271" s="97" t="str">
        <f>'2026'!E271</f>
        <v xml:space="preserve"> </v>
      </c>
      <c r="F271" s="97" t="str">
        <f>'2026'!F271</f>
        <v xml:space="preserve"> </v>
      </c>
      <c r="G271" s="36"/>
      <c r="H271" s="36" t="e">
        <f ca="1">IF(OR(ISBLANK(タスク_開始),ISBLANK(タスク_終了)),"",タスク_終了-タスク_開始+1)</f>
        <v>#VALUE!</v>
      </c>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row>
    <row r="272" outlineLevel="1" hidden="1" spans="1:64" s="37" customFormat="1" ht="30" customHeight="1">
      <c r="A272" s="20"/>
      <c r="B272" s="94" t="str">
        <f>'2026'!B272</f>
        <v>7D-16.○○機能</v>
      </c>
      <c r="C272" s="95" t="str">
        <f>'2026'!C272</f>
        <v xml:space="preserve"> </v>
      </c>
      <c r="D272" s="96" t="str">
        <f>'2026'!D272</f>
        <v xml:space="preserve"> </v>
      </c>
      <c r="E272" s="97" t="str">
        <f>'2026'!E272</f>
        <v xml:space="preserve"> </v>
      </c>
      <c r="F272" s="97" t="str">
        <f>'2026'!F272</f>
        <v xml:space="preserve"> </v>
      </c>
      <c r="G272" s="36"/>
      <c r="H272" s="36" t="e">
        <f ca="1">IF(OR(ISBLANK(タスク_開始),ISBLANK(タスク_終了)),"",タスク_終了-タスク_開始+1)</f>
        <v>#VALUE!</v>
      </c>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row>
    <row r="273" outlineLevel="1" hidden="1" spans="1:64" s="37" customFormat="1" ht="30" customHeight="1">
      <c r="A273" s="20"/>
      <c r="B273" s="94" t="str">
        <f>'2026'!B273</f>
        <v>7D-17.○○機能</v>
      </c>
      <c r="C273" s="95" t="str">
        <f>'2026'!C273</f>
        <v xml:space="preserve"> </v>
      </c>
      <c r="D273" s="96" t="str">
        <f>'2026'!D273</f>
        <v xml:space="preserve"> </v>
      </c>
      <c r="E273" s="97" t="str">
        <f>'2026'!E273</f>
        <v xml:space="preserve"> </v>
      </c>
      <c r="F273" s="97" t="str">
        <f>'2026'!F273</f>
        <v xml:space="preserve"> </v>
      </c>
      <c r="G273" s="36"/>
      <c r="H273" s="36" t="e">
        <f ca="1">IF(OR(ISBLANK(タスク_開始),ISBLANK(タスク_終了)),"",タスク_終了-タスク_開始+1)</f>
        <v>#VALUE!</v>
      </c>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row>
    <row r="274" outlineLevel="1" hidden="1" spans="1:64" s="37" customFormat="1" ht="30" customHeight="1">
      <c r="A274" s="20"/>
      <c r="B274" s="94" t="str">
        <f>'2026'!B274</f>
        <v>7D-18.○○機能</v>
      </c>
      <c r="C274" s="95" t="str">
        <f>'2026'!C274</f>
        <v xml:space="preserve"> </v>
      </c>
      <c r="D274" s="96" t="str">
        <f>'2026'!D274</f>
        <v xml:space="preserve"> </v>
      </c>
      <c r="E274" s="97" t="str">
        <f>'2026'!E274</f>
        <v xml:space="preserve"> </v>
      </c>
      <c r="F274" s="97" t="str">
        <f>'2026'!F274</f>
        <v xml:space="preserve"> </v>
      </c>
      <c r="G274" s="36"/>
      <c r="H274" s="36" t="e">
        <f ca="1">IF(OR(ISBLANK(タスク_開始),ISBLANK(タスク_終了)),"",タスク_終了-タスク_開始+1)</f>
        <v>#VALUE!</v>
      </c>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row>
    <row r="275" outlineLevel="1" hidden="1" spans="1:64" s="37" customFormat="1" ht="30" customHeight="1">
      <c r="A275" s="20"/>
      <c r="B275" s="94" t="str">
        <f>'2026'!B275</f>
        <v>7D-19.○○機能</v>
      </c>
      <c r="C275" s="95" t="str">
        <f>'2026'!C275</f>
        <v xml:space="preserve"> </v>
      </c>
      <c r="D275" s="96" t="str">
        <f>'2026'!D275</f>
        <v xml:space="preserve"> </v>
      </c>
      <c r="E275" s="97" t="str">
        <f>'2026'!E275</f>
        <v xml:space="preserve"> </v>
      </c>
      <c r="F275" s="97" t="str">
        <f>'2026'!F275</f>
        <v xml:space="preserve"> </v>
      </c>
      <c r="G275" s="36"/>
      <c r="H275" s="36" t="e">
        <f ca="1">IF(OR(ISBLANK(タスク_開始),ISBLANK(タスク_終了)),"",タスク_終了-タスク_開始+1)</f>
        <v>#VALUE!</v>
      </c>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row>
    <row r="276" outlineLevel="1" hidden="1" spans="1:64" s="37" customFormat="1" ht="30" customHeight="1">
      <c r="A276" s="20"/>
      <c r="B276" s="94" t="str">
        <f>'2026'!B276</f>
        <v>7D-20.○○機能</v>
      </c>
      <c r="C276" s="95" t="str">
        <f>'2026'!C276</f>
        <v xml:space="preserve"> </v>
      </c>
      <c r="D276" s="96" t="str">
        <f>'2026'!D276</f>
        <v xml:space="preserve"> </v>
      </c>
      <c r="E276" s="97" t="str">
        <f>'2026'!E276</f>
        <v xml:space="preserve"> </v>
      </c>
      <c r="F276" s="97" t="str">
        <f>'2026'!F276</f>
        <v xml:space="preserve"> </v>
      </c>
      <c r="G276" s="36"/>
      <c r="H276" s="36" t="e">
        <f ca="1">IF(OR(ISBLANK(タスク_開始),ISBLANK(タスク_終了)),"",タスク_終了-タスク_開始+1)</f>
        <v>#VALUE!</v>
      </c>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row>
    <row r="277" outlineLevel="1" hidden="1" spans="1:64" s="37" customFormat="1" ht="30" customHeight="1">
      <c r="A277" s="20"/>
      <c r="B277" s="94" t="str">
        <f>'2026'!B277</f>
        <v>7D-21.○○機能</v>
      </c>
      <c r="C277" s="95" t="str">
        <f>'2026'!C277</f>
        <v xml:space="preserve"> </v>
      </c>
      <c r="D277" s="96" t="str">
        <f>'2026'!D277</f>
        <v xml:space="preserve"> </v>
      </c>
      <c r="E277" s="97" t="str">
        <f>'2026'!E277</f>
        <v xml:space="preserve"> </v>
      </c>
      <c r="F277" s="97" t="str">
        <f>'2026'!F277</f>
        <v xml:space="preserve"> </v>
      </c>
      <c r="G277" s="36"/>
      <c r="H277" s="36" t="e">
        <f ca="1">IF(OR(ISBLANK(タスク_開始),ISBLANK(タスク_終了)),"",タスク_終了-タスク_開始+1)</f>
        <v>#VALUE!</v>
      </c>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row>
    <row r="278" outlineLevel="1" hidden="1" spans="1:64" s="37" customFormat="1" ht="30" customHeight="1">
      <c r="A278" s="20"/>
      <c r="B278" s="94" t="str">
        <f>'2026'!B278</f>
        <v>7D-22.○○機能</v>
      </c>
      <c r="C278" s="95" t="str">
        <f>'2026'!C278</f>
        <v xml:space="preserve"> </v>
      </c>
      <c r="D278" s="96" t="str">
        <f>'2026'!D278</f>
        <v xml:space="preserve"> </v>
      </c>
      <c r="E278" s="97" t="str">
        <f>'2026'!E278</f>
        <v xml:space="preserve"> </v>
      </c>
      <c r="F278" s="97" t="str">
        <f>'2026'!F278</f>
        <v xml:space="preserve"> </v>
      </c>
      <c r="G278" s="36"/>
      <c r="H278" s="36" t="e">
        <f ca="1">IF(OR(ISBLANK(タスク_開始),ISBLANK(タスク_終了)),"",タスク_終了-タスク_開始+1)</f>
        <v>#VALUE!</v>
      </c>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row>
    <row r="279" outlineLevel="1" hidden="1" spans="1:64" s="37" customFormat="1" ht="30" customHeight="1">
      <c r="A279" s="20"/>
      <c r="B279" s="94" t="str">
        <f>'2026'!B279</f>
        <v>7D-23.○○機能</v>
      </c>
      <c r="C279" s="95" t="str">
        <f>'2026'!C279</f>
        <v xml:space="preserve"> </v>
      </c>
      <c r="D279" s="96" t="str">
        <f>'2026'!D279</f>
        <v xml:space="preserve"> </v>
      </c>
      <c r="E279" s="97" t="str">
        <f>'2026'!E279</f>
        <v xml:space="preserve"> </v>
      </c>
      <c r="F279" s="97" t="str">
        <f>'2026'!F279</f>
        <v xml:space="preserve"> </v>
      </c>
      <c r="G279" s="36"/>
      <c r="H279" s="36" t="e">
        <f ca="1">IF(OR(ISBLANK(タスク_開始),ISBLANK(タスク_終了)),"",タスク_終了-タスク_開始+1)</f>
        <v>#VALUE!</v>
      </c>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row>
    <row r="280" outlineLevel="1" hidden="1" spans="1:64" s="37" customFormat="1" ht="30" customHeight="1">
      <c r="A280" s="20"/>
      <c r="B280" s="94" t="str">
        <f>'2026'!B280</f>
        <v>7D-24.○○機能</v>
      </c>
      <c r="C280" s="95" t="str">
        <f>'2026'!C280</f>
        <v xml:space="preserve"> </v>
      </c>
      <c r="D280" s="96" t="str">
        <f>'2026'!D280</f>
        <v xml:space="preserve"> </v>
      </c>
      <c r="E280" s="97" t="str">
        <f>'2026'!E280</f>
        <v xml:space="preserve"> </v>
      </c>
      <c r="F280" s="97" t="str">
        <f>'2026'!F280</f>
        <v xml:space="preserve"> </v>
      </c>
      <c r="G280" s="36"/>
      <c r="H280" s="36" t="e">
        <f ca="1">IF(OR(ISBLANK(タスク_開始),ISBLANK(タスク_終了)),"",タスク_終了-タスク_開始+1)</f>
        <v>#VALUE!</v>
      </c>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row>
    <row r="281" outlineLevel="1" hidden="1" spans="1:64" s="37" customFormat="1" ht="30" customHeight="1">
      <c r="A281" s="20"/>
      <c r="B281" s="94" t="str">
        <f>'2026'!B281</f>
        <v>7D-25.○○機能</v>
      </c>
      <c r="C281" s="95" t="str">
        <f>'2026'!C281</f>
        <v xml:space="preserve"> </v>
      </c>
      <c r="D281" s="96" t="str">
        <f>'2026'!D281</f>
        <v xml:space="preserve"> </v>
      </c>
      <c r="E281" s="97" t="str">
        <f>'2026'!E281</f>
        <v xml:space="preserve"> </v>
      </c>
      <c r="F281" s="97" t="str">
        <f>'2026'!F281</f>
        <v xml:space="preserve"> </v>
      </c>
      <c r="G281" s="36"/>
      <c r="H281" s="36" t="e">
        <f ca="1">IF(OR(ISBLANK(タスク_開始),ISBLANK(タスク_終了)),"",タスク_終了-タスク_開始+1)</f>
        <v>#VALUE!</v>
      </c>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row>
    <row r="282" outlineLevel="1" hidden="1" spans="1:64" s="37" customFormat="1" ht="30" customHeight="1">
      <c r="A282" s="20"/>
      <c r="B282" s="94" t="str">
        <f>'2026'!B282</f>
        <v>7D-26.○○機能</v>
      </c>
      <c r="C282" s="95" t="str">
        <f>'2026'!C282</f>
        <v xml:space="preserve"> </v>
      </c>
      <c r="D282" s="96" t="str">
        <f>'2026'!D282</f>
        <v xml:space="preserve"> </v>
      </c>
      <c r="E282" s="97" t="str">
        <f>'2026'!E282</f>
        <v xml:space="preserve"> </v>
      </c>
      <c r="F282" s="97" t="str">
        <f>'2026'!F282</f>
        <v xml:space="preserve"> </v>
      </c>
      <c r="G282" s="36"/>
      <c r="H282" s="36" t="e">
        <f ca="1">IF(OR(ISBLANK(タスク_開始),ISBLANK(タスク_終了)),"",タスク_終了-タスク_開始+1)</f>
        <v>#VALUE!</v>
      </c>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row>
    <row r="283" outlineLevel="1" hidden="1" spans="1:64" s="37" customFormat="1" ht="30" customHeight="1">
      <c r="A283" s="20"/>
      <c r="B283" s="94" t="str">
        <f>'2026'!B283</f>
        <v>7D-27.○○機能</v>
      </c>
      <c r="C283" s="95" t="str">
        <f>'2026'!C283</f>
        <v xml:space="preserve"> </v>
      </c>
      <c r="D283" s="96" t="str">
        <f>'2026'!D283</f>
        <v xml:space="preserve"> </v>
      </c>
      <c r="E283" s="97" t="str">
        <f>'2026'!E283</f>
        <v xml:space="preserve"> </v>
      </c>
      <c r="F283" s="97" t="str">
        <f>'2026'!F283</f>
        <v xml:space="preserve"> </v>
      </c>
      <c r="G283" s="36"/>
      <c r="H283" s="36" t="e">
        <f ca="1">IF(OR(ISBLANK(タスク_開始),ISBLANK(タスク_終了)),"",タスク_終了-タスク_開始+1)</f>
        <v>#VALUE!</v>
      </c>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row>
    <row r="284" outlineLevel="1" hidden="1" spans="1:64" s="37" customFormat="1" ht="30" customHeight="1">
      <c r="A284" s="20"/>
      <c r="B284" s="94" t="str">
        <f>'2026'!B284</f>
        <v>7D-28.○○機能</v>
      </c>
      <c r="C284" s="95" t="str">
        <f>'2026'!C284</f>
        <v xml:space="preserve"> </v>
      </c>
      <c r="D284" s="96" t="str">
        <f>'2026'!D284</f>
        <v xml:space="preserve"> </v>
      </c>
      <c r="E284" s="97" t="str">
        <f>'2026'!E284</f>
        <v xml:space="preserve"> </v>
      </c>
      <c r="F284" s="97" t="str">
        <f>'2026'!F284</f>
        <v xml:space="preserve"> </v>
      </c>
      <c r="G284" s="36"/>
      <c r="H284" s="36" t="e">
        <f ca="1">IF(OR(ISBLANK(タスク_開始),ISBLANK(タスク_終了)),"",タスク_終了-タスク_開始+1)</f>
        <v>#VALUE!</v>
      </c>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row>
    <row r="285" outlineLevel="1" hidden="1" spans="1:64" s="37" customFormat="1" ht="30" customHeight="1">
      <c r="A285" s="20"/>
      <c r="B285" s="94" t="str">
        <f>'2026'!B285</f>
        <v>7D-29.○○機能</v>
      </c>
      <c r="C285" s="95" t="str">
        <f>'2026'!C285</f>
        <v xml:space="preserve"> </v>
      </c>
      <c r="D285" s="96" t="str">
        <f>'2026'!D285</f>
        <v xml:space="preserve"> </v>
      </c>
      <c r="E285" s="97" t="str">
        <f>'2026'!E285</f>
        <v xml:space="preserve"> </v>
      </c>
      <c r="F285" s="97" t="str">
        <f>'2026'!F285</f>
        <v xml:space="preserve"> </v>
      </c>
      <c r="G285" s="36"/>
      <c r="H285" s="36" t="e">
        <f ca="1">IF(OR(ISBLANK(タスク_開始),ISBLANK(タスク_終了)),"",タスク_終了-タスク_開始+1)</f>
        <v>#VALUE!</v>
      </c>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row>
    <row r="286" outlineLevel="1" hidden="1" spans="1:64" s="37" customFormat="1" ht="30" customHeight="1">
      <c r="A286" s="20"/>
      <c r="B286" s="94" t="str">
        <f>'2026'!B286</f>
        <v>7D-30.○○機能</v>
      </c>
      <c r="C286" s="95" t="str">
        <f>'2026'!C286</f>
        <v xml:space="preserve"> </v>
      </c>
      <c r="D286" s="96" t="str">
        <f>'2026'!D286</f>
        <v xml:space="preserve"> </v>
      </c>
      <c r="E286" s="97" t="str">
        <f>'2026'!E286</f>
        <v xml:space="preserve"> </v>
      </c>
      <c r="F286" s="97" t="str">
        <f>'2026'!F286</f>
        <v xml:space="preserve"> </v>
      </c>
      <c r="G286" s="36"/>
      <c r="H286" s="36" t="e">
        <f ca="1">IF(OR(ISBLANK(タスク_開始),ISBLANK(タスク_終了)),"",タスク_終了-タスク_開始+1)</f>
        <v>#VALUE!</v>
      </c>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row>
    <row r="287" collapsed="1" spans="1:64" s="37" customFormat="1" ht="30" customHeight="1">
      <c r="A287" s="20" t="s">
        <v>74</v>
      </c>
      <c r="B287" s="89" t="s">
        <v>305</v>
      </c>
      <c r="C287" s="90"/>
      <c r="D287" s="91"/>
      <c r="E287" s="92"/>
      <c r="F287" s="93"/>
      <c r="G287" s="36"/>
      <c r="H287" s="36" t="str">
        <f ca="1">IF(OR(ISBLANK(タスク_開始),ISBLANK(タスク_終了)),"",タスク_終了-タスク_開始+1)</f>
        <v/>
      </c>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row>
    <row r="288" spans="1:64" s="37" customFormat="1" ht="30" customHeight="1">
      <c r="A288" s="20"/>
      <c r="B288" s="94" t="str">
        <f>'2026'!B288</f>
        <v>7E-01.○○機能（xxxxx）</v>
      </c>
      <c r="C288" s="95" t="str">
        <f>'2026'!C288</f>
        <v xml:space="preserve"> </v>
      </c>
      <c r="D288" s="96" t="str">
        <f>'2026'!D288</f>
        <v xml:space="preserve"> </v>
      </c>
      <c r="E288" s="97" t="str">
        <f>'2026'!E288</f>
        <v xml:space="preserve"> </v>
      </c>
      <c r="F288" s="97" t="str">
        <f>'2026'!F288</f>
        <v xml:space="preserve"> </v>
      </c>
      <c r="G288" s="36"/>
      <c r="H288" s="36" t="e">
        <f ca="1">IF(OR(ISBLANK(タスク_開始),ISBLANK(タスク_終了)),"",タスク_終了-タスク_開始+1)</f>
        <v>#VALUE!</v>
      </c>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row>
    <row r="289" spans="1:64" s="37" customFormat="1" ht="30" customHeight="1">
      <c r="A289" s="20"/>
      <c r="B289" s="94" t="str">
        <f>'2026'!B289</f>
        <v>7E-02.○○機能（xxxxx）</v>
      </c>
      <c r="C289" s="95" t="str">
        <f>'2026'!C289</f>
        <v xml:space="preserve"> </v>
      </c>
      <c r="D289" s="96" t="str">
        <f>'2026'!D289</f>
        <v xml:space="preserve"> </v>
      </c>
      <c r="E289" s="97" t="str">
        <f>'2026'!E289</f>
        <v xml:space="preserve"> </v>
      </c>
      <c r="F289" s="97" t="str">
        <f>'2026'!F289</f>
        <v xml:space="preserve"> </v>
      </c>
      <c r="G289" s="36"/>
      <c r="H289" s="36" t="e">
        <f ca="1">IF(OR(ISBLANK(タスク_開始),ISBLANK(タスク_終了)),"",タスク_終了-タスク_開始+1)</f>
        <v>#VALUE!</v>
      </c>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row>
    <row r="290" spans="1:64" s="37" customFormat="1" ht="30" customHeight="1">
      <c r="A290" s="20"/>
      <c r="B290" s="94" t="str">
        <f>'2026'!B290</f>
        <v>7E-03.○○機能（xxxxx）</v>
      </c>
      <c r="C290" s="95" t="str">
        <f>'2026'!C290</f>
        <v xml:space="preserve"> </v>
      </c>
      <c r="D290" s="96" t="str">
        <f>'2026'!D290</f>
        <v xml:space="preserve"> </v>
      </c>
      <c r="E290" s="97" t="str">
        <f>'2026'!E290</f>
        <v xml:space="preserve"> </v>
      </c>
      <c r="F290" s="97" t="str">
        <f>'2026'!F290</f>
        <v xml:space="preserve"> </v>
      </c>
      <c r="G290" s="36"/>
      <c r="H290" s="36" t="e">
        <f ca="1">IF(OR(ISBLANK(タスク_開始),ISBLANK(タスク_終了)),"",タスク_終了-タスク_開始+1)</f>
        <v>#VALUE!</v>
      </c>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row>
    <row r="291" spans="1:64" s="37" customFormat="1" ht="30" customHeight="1">
      <c r="A291" s="20"/>
      <c r="B291" s="94" t="str">
        <f>'2026'!B291</f>
        <v>7E-04.○○機能（xxxxx）</v>
      </c>
      <c r="C291" s="95" t="str">
        <f>'2026'!C291</f>
        <v xml:space="preserve"> </v>
      </c>
      <c r="D291" s="96" t="str">
        <f>'2026'!D291</f>
        <v xml:space="preserve"> </v>
      </c>
      <c r="E291" s="97" t="str">
        <f>'2026'!E291</f>
        <v xml:space="preserve"> </v>
      </c>
      <c r="F291" s="97" t="str">
        <f>'2026'!F291</f>
        <v xml:space="preserve"> </v>
      </c>
      <c r="G291" s="36"/>
      <c r="H291" s="36" t="e">
        <f ca="1">IF(OR(ISBLANK(タスク_開始),ISBLANK(タスク_終了)),"",タスク_終了-タスク_開始+1)</f>
        <v>#VALUE!</v>
      </c>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row>
    <row r="292" spans="1:64" s="37" customFormat="1" ht="30" customHeight="1">
      <c r="A292" s="20"/>
      <c r="B292" s="94" t="str">
        <f>'2026'!B292</f>
        <v>7E-05.○○機能（xxxxx）</v>
      </c>
      <c r="C292" s="95" t="str">
        <f>'2026'!C292</f>
        <v xml:space="preserve"> </v>
      </c>
      <c r="D292" s="96" t="str">
        <f>'2026'!D292</f>
        <v xml:space="preserve"> </v>
      </c>
      <c r="E292" s="97" t="str">
        <f>'2026'!E292</f>
        <v xml:space="preserve"> </v>
      </c>
      <c r="F292" s="97" t="str">
        <f>'2026'!F292</f>
        <v xml:space="preserve"> </v>
      </c>
      <c r="G292" s="36"/>
      <c r="H292" s="36" t="e">
        <f ca="1">IF(OR(ISBLANK(タスク_開始),ISBLANK(タスク_終了)),"",タスク_終了-タスク_開始+1)</f>
        <v>#VALUE!</v>
      </c>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row>
    <row r="293" spans="1:64" s="37" customFormat="1" ht="30" customHeight="1">
      <c r="A293" s="20"/>
      <c r="B293" s="94" t="str">
        <f>'2026'!B293</f>
        <v>7E-06.○○機能（xxxxx）</v>
      </c>
      <c r="C293" s="95" t="str">
        <f>'2026'!C293</f>
        <v xml:space="preserve"> </v>
      </c>
      <c r="D293" s="96" t="str">
        <f>'2026'!D293</f>
        <v xml:space="preserve"> </v>
      </c>
      <c r="E293" s="97" t="str">
        <f>'2026'!E293</f>
        <v xml:space="preserve"> </v>
      </c>
      <c r="F293" s="97" t="str">
        <f>'2026'!F293</f>
        <v xml:space="preserve"> </v>
      </c>
      <c r="G293" s="36"/>
      <c r="H293" s="36" t="e">
        <f ca="1">IF(OR(ISBLANK(タスク_開始),ISBLANK(タスク_終了)),"",タスク_終了-タスク_開始+1)</f>
        <v>#VALUE!</v>
      </c>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row>
    <row r="294" spans="1:64" s="37" customFormat="1" ht="30" customHeight="1">
      <c r="A294" s="20"/>
      <c r="B294" s="94" t="str">
        <f>'2026'!B294</f>
        <v>7E-07.○○機能（xxxxx）</v>
      </c>
      <c r="C294" s="95" t="str">
        <f>'2026'!C294</f>
        <v xml:space="preserve"> </v>
      </c>
      <c r="D294" s="96" t="str">
        <f>'2026'!D294</f>
        <v xml:space="preserve"> </v>
      </c>
      <c r="E294" s="97" t="str">
        <f>'2026'!E294</f>
        <v xml:space="preserve"> </v>
      </c>
      <c r="F294" s="97" t="str">
        <f>'2026'!F294</f>
        <v xml:space="preserve"> </v>
      </c>
      <c r="G294" s="36"/>
      <c r="H294" s="36" t="e">
        <f ca="1">IF(OR(ISBLANK(タスク_開始),ISBLANK(タスク_終了)),"",タスク_終了-タスク_開始+1)</f>
        <v>#VALUE!</v>
      </c>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row>
    <row r="295" spans="1:64" s="37" customFormat="1" ht="30" customHeight="1">
      <c r="A295" s="20"/>
      <c r="B295" s="94" t="str">
        <f>'2026'!B295</f>
        <v>7E-08.○○機能（xxxxx）</v>
      </c>
      <c r="C295" s="95" t="str">
        <f>'2026'!C295</f>
        <v xml:space="preserve"> </v>
      </c>
      <c r="D295" s="96" t="str">
        <f>'2026'!D295</f>
        <v xml:space="preserve"> </v>
      </c>
      <c r="E295" s="97" t="str">
        <f>'2026'!E295</f>
        <v xml:space="preserve"> </v>
      </c>
      <c r="F295" s="97" t="str">
        <f>'2026'!F295</f>
        <v xml:space="preserve"> </v>
      </c>
      <c r="G295" s="36"/>
      <c r="H295" s="36" t="e">
        <f ca="1">IF(OR(ISBLANK(タスク_開始),ISBLANK(タスク_終了)),"",タスク_終了-タスク_開始+1)</f>
        <v>#VALUE!</v>
      </c>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row>
    <row r="296" spans="1:64" s="37" customFormat="1" ht="30" customHeight="1">
      <c r="A296" s="20"/>
      <c r="B296" s="94" t="str">
        <f>'2026'!B296</f>
        <v>7E-09.○○機能（xxxxx）</v>
      </c>
      <c r="C296" s="95" t="str">
        <f>'2026'!C296</f>
        <v xml:space="preserve"> </v>
      </c>
      <c r="D296" s="96" t="str">
        <f>'2026'!D296</f>
        <v xml:space="preserve"> </v>
      </c>
      <c r="E296" s="97" t="str">
        <f>'2026'!E296</f>
        <v xml:space="preserve"> </v>
      </c>
      <c r="F296" s="97" t="str">
        <f>'2026'!F296</f>
        <v xml:space="preserve"> </v>
      </c>
      <c r="G296" s="36"/>
      <c r="H296" s="36" t="e">
        <f ca="1">IF(OR(ISBLANK(タスク_開始),ISBLANK(タスク_終了)),"",タスク_終了-タスク_開始+1)</f>
        <v>#VALUE!</v>
      </c>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row>
    <row r="297" spans="1:64" s="37" customFormat="1" ht="30" customHeight="1">
      <c r="A297" s="20"/>
      <c r="B297" s="94" t="str">
        <f>'2026'!B297</f>
        <v>7E-10.○○機能（xxxxx）</v>
      </c>
      <c r="C297" s="95" t="str">
        <f>'2026'!C297</f>
        <v xml:space="preserve"> </v>
      </c>
      <c r="D297" s="96" t="str">
        <f>'2026'!D297</f>
        <v xml:space="preserve"> </v>
      </c>
      <c r="E297" s="97" t="str">
        <f>'2026'!E297</f>
        <v xml:space="preserve"> </v>
      </c>
      <c r="F297" s="97" t="str">
        <f>'2026'!F297</f>
        <v xml:space="preserve"> </v>
      </c>
      <c r="G297" s="36"/>
      <c r="H297" s="36" t="e">
        <f ca="1">IF(OR(ISBLANK(タスク_開始),ISBLANK(タスク_終了)),"",タスク_終了-タスク_開始+1)</f>
        <v>#VALUE!</v>
      </c>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row>
    <row r="298" outlineLevel="1" hidden="1" spans="1:64" s="37" customFormat="1" ht="30" customHeight="1">
      <c r="A298" s="20"/>
      <c r="B298" s="94" t="str">
        <f>'2026'!B298</f>
        <v>7E-11.○○機能（xxxxx）</v>
      </c>
      <c r="C298" s="95" t="str">
        <f>'2026'!C298</f>
        <v xml:space="preserve"> </v>
      </c>
      <c r="D298" s="96" t="str">
        <f>'2026'!D298</f>
        <v xml:space="preserve"> </v>
      </c>
      <c r="E298" s="97" t="str">
        <f>'2026'!E298</f>
        <v xml:space="preserve"> </v>
      </c>
      <c r="F298" s="97" t="str">
        <f>'2026'!F298</f>
        <v xml:space="preserve"> </v>
      </c>
      <c r="G298" s="36"/>
      <c r="H298" s="36" t="e">
        <f ca="1">IF(OR(ISBLANK(タスク_開始),ISBLANK(タスク_終了)),"",タスク_終了-タスク_開始+1)</f>
        <v>#VALUE!</v>
      </c>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row>
    <row r="299" outlineLevel="1" hidden="1" spans="1:64" s="37" customFormat="1" ht="30" customHeight="1">
      <c r="A299" s="20"/>
      <c r="B299" s="94" t="str">
        <f>'2026'!B299</f>
        <v>7E-12.○○機能（xxxxx）</v>
      </c>
      <c r="C299" s="95" t="str">
        <f>'2026'!C299</f>
        <v xml:space="preserve"> </v>
      </c>
      <c r="D299" s="96" t="str">
        <f>'2026'!D299</f>
        <v xml:space="preserve"> </v>
      </c>
      <c r="E299" s="97" t="str">
        <f>'2026'!E299</f>
        <v xml:space="preserve"> </v>
      </c>
      <c r="F299" s="97" t="str">
        <f>'2026'!F299</f>
        <v xml:space="preserve"> </v>
      </c>
      <c r="G299" s="36"/>
      <c r="H299" s="36" t="e">
        <f ca="1">IF(OR(ISBLANK(タスク_開始),ISBLANK(タスク_終了)),"",タスク_終了-タスク_開始+1)</f>
        <v>#VALUE!</v>
      </c>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row>
    <row r="300" outlineLevel="1" hidden="1" spans="1:64" s="37" customFormat="1" ht="30" customHeight="1">
      <c r="A300" s="20"/>
      <c r="B300" s="94" t="str">
        <f>'2026'!B300</f>
        <v>7E-13.○○機能（xxxxx）</v>
      </c>
      <c r="C300" s="95" t="str">
        <f>'2026'!C300</f>
        <v xml:space="preserve"> </v>
      </c>
      <c r="D300" s="96" t="str">
        <f>'2026'!D300</f>
        <v xml:space="preserve"> </v>
      </c>
      <c r="E300" s="97" t="str">
        <f>'2026'!E300</f>
        <v xml:space="preserve"> </v>
      </c>
      <c r="F300" s="97" t="str">
        <f>'2026'!F300</f>
        <v xml:space="preserve"> </v>
      </c>
      <c r="G300" s="36"/>
      <c r="H300" s="36" t="e">
        <f ca="1">IF(OR(ISBLANK(タスク_開始),ISBLANK(タスク_終了)),"",タスク_終了-タスク_開始+1)</f>
        <v>#VALUE!</v>
      </c>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row>
    <row r="301" outlineLevel="1" hidden="1" spans="1:64" s="37" customFormat="1" ht="30" customHeight="1">
      <c r="A301" s="20"/>
      <c r="B301" s="94" t="str">
        <f>'2026'!B301</f>
        <v>7E-14.○○機能（xxxxx）</v>
      </c>
      <c r="C301" s="95" t="str">
        <f>'2026'!C301</f>
        <v xml:space="preserve"> </v>
      </c>
      <c r="D301" s="96" t="str">
        <f>'2026'!D301</f>
        <v xml:space="preserve"> </v>
      </c>
      <c r="E301" s="97" t="str">
        <f>'2026'!E301</f>
        <v xml:space="preserve"> </v>
      </c>
      <c r="F301" s="97" t="str">
        <f>'2026'!F301</f>
        <v xml:space="preserve"> </v>
      </c>
      <c r="G301" s="36"/>
      <c r="H301" s="36" t="e">
        <f ca="1">IF(OR(ISBLANK(タスク_開始),ISBLANK(タスク_終了)),"",タスク_終了-タスク_開始+1)</f>
        <v>#VALUE!</v>
      </c>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row>
    <row r="302" outlineLevel="1" hidden="1" spans="1:64" s="37" customFormat="1" ht="30" customHeight="1">
      <c r="A302" s="20"/>
      <c r="B302" s="94" t="str">
        <f>'2026'!B302</f>
        <v>7E-15.○○機能（xxxxx）</v>
      </c>
      <c r="C302" s="95" t="str">
        <f>'2026'!C302</f>
        <v xml:space="preserve"> </v>
      </c>
      <c r="D302" s="96" t="str">
        <f>'2026'!D302</f>
        <v xml:space="preserve"> </v>
      </c>
      <c r="E302" s="97" t="str">
        <f>'2026'!E302</f>
        <v xml:space="preserve"> </v>
      </c>
      <c r="F302" s="97" t="str">
        <f>'2026'!F302</f>
        <v xml:space="preserve"> </v>
      </c>
      <c r="G302" s="36"/>
      <c r="H302" s="36" t="e">
        <f ca="1">IF(OR(ISBLANK(タスク_開始),ISBLANK(タスク_終了)),"",タスク_終了-タスク_開始+1)</f>
        <v>#VALUE!</v>
      </c>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row>
    <row r="303" outlineLevel="1" hidden="1" spans="1:64" s="37" customFormat="1" ht="30" customHeight="1">
      <c r="A303" s="20"/>
      <c r="B303" s="94" t="str">
        <f>'2026'!B303</f>
        <v>7E-16.○○機能（xxxxx）</v>
      </c>
      <c r="C303" s="95" t="str">
        <f>'2026'!C303</f>
        <v xml:space="preserve"> </v>
      </c>
      <c r="D303" s="96" t="str">
        <f>'2026'!D303</f>
        <v xml:space="preserve"> </v>
      </c>
      <c r="E303" s="97" t="str">
        <f>'2026'!E303</f>
        <v xml:space="preserve"> </v>
      </c>
      <c r="F303" s="97" t="str">
        <f>'2026'!F303</f>
        <v xml:space="preserve"> </v>
      </c>
      <c r="G303" s="36"/>
      <c r="H303" s="36" t="e">
        <f ca="1">IF(OR(ISBLANK(タスク_開始),ISBLANK(タスク_終了)),"",タスク_終了-タスク_開始+1)</f>
        <v>#VALUE!</v>
      </c>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row>
    <row r="304" outlineLevel="1" hidden="1" spans="1:64" s="37" customFormat="1" ht="30" customHeight="1">
      <c r="A304" s="20"/>
      <c r="B304" s="94" t="str">
        <f>'2026'!B304</f>
        <v>7E-17.○○機能（xxxxx）</v>
      </c>
      <c r="C304" s="95" t="str">
        <f>'2026'!C304</f>
        <v xml:space="preserve"> </v>
      </c>
      <c r="D304" s="96" t="str">
        <f>'2026'!D304</f>
        <v xml:space="preserve"> </v>
      </c>
      <c r="E304" s="97" t="str">
        <f>'2026'!E304</f>
        <v xml:space="preserve"> </v>
      </c>
      <c r="F304" s="97" t="str">
        <f>'2026'!F304</f>
        <v xml:space="preserve"> </v>
      </c>
      <c r="G304" s="36"/>
      <c r="H304" s="36" t="e">
        <f ca="1">IF(OR(ISBLANK(タスク_開始),ISBLANK(タスク_終了)),"",タスク_終了-タスク_開始+1)</f>
        <v>#VALUE!</v>
      </c>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row>
    <row r="305" outlineLevel="1" hidden="1" spans="1:64" s="37" customFormat="1" ht="30" customHeight="1">
      <c r="A305" s="20"/>
      <c r="B305" s="94" t="str">
        <f>'2026'!B305</f>
        <v>7E-18.○○機能（xxxxx）</v>
      </c>
      <c r="C305" s="95" t="str">
        <f>'2026'!C305</f>
        <v xml:space="preserve"> </v>
      </c>
      <c r="D305" s="96" t="str">
        <f>'2026'!D305</f>
        <v xml:space="preserve"> </v>
      </c>
      <c r="E305" s="97" t="str">
        <f>'2026'!E305</f>
        <v xml:space="preserve"> </v>
      </c>
      <c r="F305" s="97" t="str">
        <f>'2026'!F305</f>
        <v xml:space="preserve"> </v>
      </c>
      <c r="G305" s="36"/>
      <c r="H305" s="36" t="e">
        <f ca="1">IF(OR(ISBLANK(タスク_開始),ISBLANK(タスク_終了)),"",タスク_終了-タスク_開始+1)</f>
        <v>#VALUE!</v>
      </c>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row>
    <row r="306" outlineLevel="1" hidden="1" spans="1:64" s="37" customFormat="1" ht="30" customHeight="1">
      <c r="A306" s="20"/>
      <c r="B306" s="94" t="str">
        <f>'2026'!B306</f>
        <v>7E-19.○○機能（xxxxx）</v>
      </c>
      <c r="C306" s="95" t="str">
        <f>'2026'!C306</f>
        <v xml:space="preserve"> </v>
      </c>
      <c r="D306" s="96" t="str">
        <f>'2026'!D306</f>
        <v xml:space="preserve"> </v>
      </c>
      <c r="E306" s="97" t="str">
        <f>'2026'!E306</f>
        <v xml:space="preserve"> </v>
      </c>
      <c r="F306" s="97" t="str">
        <f>'2026'!F306</f>
        <v xml:space="preserve"> </v>
      </c>
      <c r="G306" s="36"/>
      <c r="H306" s="36" t="e">
        <f ca="1">IF(OR(ISBLANK(タスク_開始),ISBLANK(タスク_終了)),"",タスク_終了-タスク_開始+1)</f>
        <v>#VALUE!</v>
      </c>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row>
    <row r="307" outlineLevel="1" hidden="1" spans="1:64" s="37" customFormat="1" ht="30" customHeight="1">
      <c r="A307" s="20"/>
      <c r="B307" s="94" t="str">
        <f>'2026'!B307</f>
        <v>7E-20.○○機能（xxxxx）</v>
      </c>
      <c r="C307" s="95" t="str">
        <f>'2026'!C307</f>
        <v xml:space="preserve"> </v>
      </c>
      <c r="D307" s="96" t="str">
        <f>'2026'!D307</f>
        <v xml:space="preserve"> </v>
      </c>
      <c r="E307" s="97" t="str">
        <f>'2026'!E307</f>
        <v xml:space="preserve"> </v>
      </c>
      <c r="F307" s="97" t="str">
        <f>'2026'!F307</f>
        <v xml:space="preserve"> </v>
      </c>
      <c r="G307" s="36"/>
      <c r="H307" s="36" t="e">
        <f ca="1">IF(OR(ISBLANK(タスク_開始),ISBLANK(タスク_終了)),"",タスク_終了-タスク_開始+1)</f>
        <v>#VALUE!</v>
      </c>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row>
    <row r="308" outlineLevel="1" hidden="1" spans="1:64" s="37" customFormat="1" ht="30" customHeight="1">
      <c r="A308" s="20"/>
      <c r="B308" s="94" t="str">
        <f>'2026'!B308</f>
        <v>7E-21.○○機能（xxxxx）</v>
      </c>
      <c r="C308" s="95" t="str">
        <f>'2026'!C308</f>
        <v xml:space="preserve"> </v>
      </c>
      <c r="D308" s="96" t="str">
        <f>'2026'!D308</f>
        <v xml:space="preserve"> </v>
      </c>
      <c r="E308" s="97" t="str">
        <f>'2026'!E308</f>
        <v xml:space="preserve"> </v>
      </c>
      <c r="F308" s="97" t="str">
        <f>'2026'!F308</f>
        <v xml:space="preserve"> </v>
      </c>
      <c r="G308" s="36"/>
      <c r="H308" s="36" t="e">
        <f ca="1">IF(OR(ISBLANK(タスク_開始),ISBLANK(タスク_終了)),"",タスク_終了-タスク_開始+1)</f>
        <v>#VALUE!</v>
      </c>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row>
    <row r="309" outlineLevel="1" hidden="1" spans="1:64" s="37" customFormat="1" ht="30" customHeight="1">
      <c r="A309" s="20"/>
      <c r="B309" s="94" t="str">
        <f>'2026'!B309</f>
        <v>7E-22.○○機能（xxxxx）</v>
      </c>
      <c r="C309" s="95" t="str">
        <f>'2026'!C309</f>
        <v xml:space="preserve"> </v>
      </c>
      <c r="D309" s="96" t="str">
        <f>'2026'!D309</f>
        <v xml:space="preserve"> </v>
      </c>
      <c r="E309" s="97" t="str">
        <f>'2026'!E309</f>
        <v xml:space="preserve"> </v>
      </c>
      <c r="F309" s="97" t="str">
        <f>'2026'!F309</f>
        <v xml:space="preserve"> </v>
      </c>
      <c r="G309" s="36"/>
      <c r="H309" s="36" t="e">
        <f ca="1">IF(OR(ISBLANK(タスク_開始),ISBLANK(タスク_終了)),"",タスク_終了-タスク_開始+1)</f>
        <v>#VALUE!</v>
      </c>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row>
    <row r="310" outlineLevel="1" hidden="1" spans="1:64" s="37" customFormat="1" ht="30" customHeight="1">
      <c r="A310" s="20"/>
      <c r="B310" s="94" t="str">
        <f>'2026'!B310</f>
        <v>7E-23.○○機能（xxxxx）</v>
      </c>
      <c r="C310" s="95" t="str">
        <f>'2026'!C310</f>
        <v xml:space="preserve"> </v>
      </c>
      <c r="D310" s="96" t="str">
        <f>'2026'!D310</f>
        <v xml:space="preserve"> </v>
      </c>
      <c r="E310" s="97" t="str">
        <f>'2026'!E310</f>
        <v xml:space="preserve"> </v>
      </c>
      <c r="F310" s="97" t="str">
        <f>'2026'!F310</f>
        <v xml:space="preserve"> </v>
      </c>
      <c r="G310" s="36"/>
      <c r="H310" s="36" t="e">
        <f ca="1">IF(OR(ISBLANK(タスク_開始),ISBLANK(タスク_終了)),"",タスク_終了-タスク_開始+1)</f>
        <v>#VALUE!</v>
      </c>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row>
    <row r="311" outlineLevel="1" hidden="1" spans="1:64" s="37" customFormat="1" ht="30" customHeight="1">
      <c r="A311" s="20"/>
      <c r="B311" s="94" t="str">
        <f>'2026'!B311</f>
        <v>7E-24.○○機能（xxxxx）</v>
      </c>
      <c r="C311" s="95" t="str">
        <f>'2026'!C311</f>
        <v xml:space="preserve"> </v>
      </c>
      <c r="D311" s="96" t="str">
        <f>'2026'!D311</f>
        <v xml:space="preserve"> </v>
      </c>
      <c r="E311" s="97" t="str">
        <f>'2026'!E311</f>
        <v xml:space="preserve"> </v>
      </c>
      <c r="F311" s="97" t="str">
        <f>'2026'!F311</f>
        <v xml:space="preserve"> </v>
      </c>
      <c r="G311" s="36"/>
      <c r="H311" s="36" t="e">
        <f ca="1">IF(OR(ISBLANK(タスク_開始),ISBLANK(タスク_終了)),"",タスク_終了-タスク_開始+1)</f>
        <v>#VALUE!</v>
      </c>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row>
    <row r="312" outlineLevel="1" hidden="1" spans="1:64" s="37" customFormat="1" ht="30" customHeight="1">
      <c r="A312" s="20"/>
      <c r="B312" s="94" t="str">
        <f>'2026'!B312</f>
        <v>7E-25.○○機能（xxxxx）</v>
      </c>
      <c r="C312" s="95" t="str">
        <f>'2026'!C312</f>
        <v xml:space="preserve"> </v>
      </c>
      <c r="D312" s="96" t="str">
        <f>'2026'!D312</f>
        <v xml:space="preserve"> </v>
      </c>
      <c r="E312" s="97" t="str">
        <f>'2026'!E312</f>
        <v xml:space="preserve"> </v>
      </c>
      <c r="F312" s="97" t="str">
        <f>'2026'!F312</f>
        <v xml:space="preserve"> </v>
      </c>
      <c r="G312" s="36"/>
      <c r="H312" s="36" t="e">
        <f ca="1">IF(OR(ISBLANK(タスク_開始),ISBLANK(タスク_終了)),"",タスク_終了-タスク_開始+1)</f>
        <v>#VALUE!</v>
      </c>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row>
    <row r="313" outlineLevel="1" hidden="1" spans="1:64" s="37" customFormat="1" ht="30" customHeight="1">
      <c r="A313" s="20"/>
      <c r="B313" s="94" t="str">
        <f>'2026'!B313</f>
        <v>7E-26.○○機能（xxxxx）</v>
      </c>
      <c r="C313" s="95" t="str">
        <f>'2026'!C313</f>
        <v xml:space="preserve"> </v>
      </c>
      <c r="D313" s="96" t="str">
        <f>'2026'!D313</f>
        <v xml:space="preserve"> </v>
      </c>
      <c r="E313" s="97" t="str">
        <f>'2026'!E313</f>
        <v xml:space="preserve"> </v>
      </c>
      <c r="F313" s="97" t="str">
        <f>'2026'!F313</f>
        <v xml:space="preserve"> </v>
      </c>
      <c r="G313" s="36"/>
      <c r="H313" s="36" t="e">
        <f ca="1">IF(OR(ISBLANK(タスク_開始),ISBLANK(タスク_終了)),"",タスク_終了-タスク_開始+1)</f>
        <v>#VALUE!</v>
      </c>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row>
    <row r="314" outlineLevel="1" hidden="1" spans="1:64" s="37" customFormat="1" ht="30" customHeight="1">
      <c r="A314" s="20"/>
      <c r="B314" s="94" t="str">
        <f>'2026'!B314</f>
        <v>7E-27.○○機能（xxxxx）</v>
      </c>
      <c r="C314" s="95" t="str">
        <f>'2026'!C314</f>
        <v xml:space="preserve"> </v>
      </c>
      <c r="D314" s="96" t="str">
        <f>'2026'!D314</f>
        <v xml:space="preserve"> </v>
      </c>
      <c r="E314" s="97" t="str">
        <f>'2026'!E314</f>
        <v xml:space="preserve"> </v>
      </c>
      <c r="F314" s="97" t="str">
        <f>'2026'!F314</f>
        <v xml:space="preserve"> </v>
      </c>
      <c r="G314" s="36"/>
      <c r="H314" s="36" t="e">
        <f ca="1">IF(OR(ISBLANK(タスク_開始),ISBLANK(タスク_終了)),"",タスク_終了-タスク_開始+1)</f>
        <v>#VALUE!</v>
      </c>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row>
    <row r="315" outlineLevel="1" hidden="1" spans="1:64" s="37" customFormat="1" ht="30" customHeight="1">
      <c r="A315" s="20"/>
      <c r="B315" s="94" t="str">
        <f>'2026'!B315</f>
        <v>7E-28.○○機能（xxxxx）</v>
      </c>
      <c r="C315" s="95" t="str">
        <f>'2026'!C315</f>
        <v xml:space="preserve"> </v>
      </c>
      <c r="D315" s="96" t="str">
        <f>'2026'!D315</f>
        <v xml:space="preserve"> </v>
      </c>
      <c r="E315" s="97" t="str">
        <f>'2026'!E315</f>
        <v xml:space="preserve"> </v>
      </c>
      <c r="F315" s="97" t="str">
        <f>'2026'!F315</f>
        <v xml:space="preserve"> </v>
      </c>
      <c r="G315" s="36"/>
      <c r="H315" s="36" t="e">
        <f ca="1">IF(OR(ISBLANK(タスク_開始),ISBLANK(タスク_終了)),"",タスク_終了-タスク_開始+1)</f>
        <v>#VALUE!</v>
      </c>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row>
    <row r="316" outlineLevel="1" hidden="1" spans="1:64" s="37" customFormat="1" ht="30" customHeight="1">
      <c r="A316" s="20"/>
      <c r="B316" s="94" t="str">
        <f>'2026'!B316</f>
        <v>7E-29.○○機能（xxxxx）</v>
      </c>
      <c r="C316" s="95" t="str">
        <f>'2026'!C316</f>
        <v xml:space="preserve"> </v>
      </c>
      <c r="D316" s="96" t="str">
        <f>'2026'!D316</f>
        <v xml:space="preserve"> </v>
      </c>
      <c r="E316" s="97" t="str">
        <f>'2026'!E316</f>
        <v xml:space="preserve"> </v>
      </c>
      <c r="F316" s="97" t="str">
        <f>'2026'!F316</f>
        <v xml:space="preserve"> </v>
      </c>
      <c r="G316" s="36"/>
      <c r="H316" s="36" t="e">
        <f ca="1">IF(OR(ISBLANK(タスク_開始),ISBLANK(タスク_終了)),"",タスク_終了-タスク_開始+1)</f>
        <v>#VALUE!</v>
      </c>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row>
    <row r="317" outlineLevel="1" hidden="1" spans="1:64" s="37" customFormat="1" ht="30" customHeight="1">
      <c r="A317" s="20"/>
      <c r="B317" s="94" t="str">
        <f>'2026'!B317</f>
        <v>7E-30.○○機能（xxxxx）</v>
      </c>
      <c r="C317" s="95" t="str">
        <f>'2026'!C317</f>
        <v xml:space="preserve"> </v>
      </c>
      <c r="D317" s="96" t="str">
        <f>'2026'!D317</f>
        <v xml:space="preserve"> </v>
      </c>
      <c r="E317" s="97" t="str">
        <f>'2026'!E317</f>
        <v xml:space="preserve"> </v>
      </c>
      <c r="F317" s="97" t="str">
        <f>'2026'!F317</f>
        <v xml:space="preserve"> </v>
      </c>
      <c r="G317" s="36"/>
      <c r="H317" s="36" t="e">
        <f ca="1">IF(OR(ISBLANK(タスク_開始),ISBLANK(タスク_終了)),"",タスク_終了-タスク_開始+1)</f>
        <v>#VALUE!</v>
      </c>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row>
    <row r="318" collapsed="1" spans="1:64" s="37" customFormat="1" ht="30" customHeight="1">
      <c r="A318" s="20" t="s">
        <v>74</v>
      </c>
      <c r="B318" s="98" t="s">
        <v>336</v>
      </c>
      <c r="C318" s="99"/>
      <c r="D318" s="100"/>
      <c r="E318" s="101"/>
      <c r="F318" s="102"/>
      <c r="G318" s="36"/>
      <c r="H318" s="36" t="str">
        <f ca="1">IF(OR(ISBLANK(タスク_開始),ISBLANK(タスク_終了)),"",タスク_終了-タスク_開始+1)</f>
        <v/>
      </c>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row>
    <row r="319" spans="1:64" s="37" customFormat="1" ht="30" customHeight="1">
      <c r="A319" s="20"/>
      <c r="B319" s="103" t="str">
        <f>'2026'!B319</f>
        <v>8-01.○○機能（xxxxx）</v>
      </c>
      <c r="C319" s="104" t="str">
        <f>'2026'!C319</f>
        <v xml:space="preserve"> </v>
      </c>
      <c r="D319" s="105" t="str">
        <f>'2026'!D319</f>
        <v xml:space="preserve"> </v>
      </c>
      <c r="E319" s="106" t="str">
        <f>'2026'!E319</f>
        <v xml:space="preserve"> </v>
      </c>
      <c r="F319" s="106" t="str">
        <f>'2026'!F319</f>
        <v xml:space="preserve"> </v>
      </c>
      <c r="G319" s="36"/>
      <c r="H319" s="36" t="e">
        <f ca="1">IF(OR(ISBLANK(タスク_開始),ISBLANK(タスク_終了)),"",タスク_終了-タスク_開始+1)</f>
        <v>#VALUE!</v>
      </c>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row>
    <row r="320" spans="1:64" s="37" customFormat="1" ht="30" customHeight="1">
      <c r="A320" s="20"/>
      <c r="B320" s="103" t="str">
        <f>'2026'!B320</f>
        <v>8-02.○○機能（xxxxx）</v>
      </c>
      <c r="C320" s="104" t="str">
        <f>'2026'!C320</f>
        <v xml:space="preserve"> </v>
      </c>
      <c r="D320" s="105" t="str">
        <f>'2026'!D320</f>
        <v xml:space="preserve"> </v>
      </c>
      <c r="E320" s="106" t="str">
        <f>'2026'!E320</f>
        <v xml:space="preserve"> </v>
      </c>
      <c r="F320" s="106" t="str">
        <f>'2026'!F320</f>
        <v xml:space="preserve"> </v>
      </c>
      <c r="G320" s="36"/>
      <c r="H320" s="36" t="e">
        <f ca="1">IF(OR(ISBLANK(タスク_開始),ISBLANK(タスク_終了)),"",タスク_終了-タスク_開始+1)</f>
        <v>#VALUE!</v>
      </c>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row>
    <row r="321" spans="1:64" s="37" customFormat="1" ht="30" customHeight="1">
      <c r="A321" s="20"/>
      <c r="B321" s="103" t="str">
        <f>'2026'!B321</f>
        <v>8-03.○○機能（xxxxx）</v>
      </c>
      <c r="C321" s="104" t="str">
        <f>'2026'!C321</f>
        <v xml:space="preserve"> </v>
      </c>
      <c r="D321" s="105" t="str">
        <f>'2026'!D321</f>
        <v xml:space="preserve"> </v>
      </c>
      <c r="E321" s="106" t="str">
        <f>'2026'!E321</f>
        <v xml:space="preserve"> </v>
      </c>
      <c r="F321" s="106" t="str">
        <f>'2026'!F321</f>
        <v xml:space="preserve"> </v>
      </c>
      <c r="G321" s="36"/>
      <c r="H321" s="36" t="e">
        <f ca="1">IF(OR(ISBLANK(タスク_開始),ISBLANK(タスク_終了)),"",タスク_終了-タスク_開始+1)</f>
        <v>#VALUE!</v>
      </c>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row>
    <row r="322" spans="1:64" s="37" customFormat="1" ht="30" customHeight="1">
      <c r="A322" s="20"/>
      <c r="B322" s="103" t="str">
        <f>'2026'!B322</f>
        <v>8-04.○○機能（xxxxx）</v>
      </c>
      <c r="C322" s="104" t="str">
        <f>'2026'!C322</f>
        <v xml:space="preserve"> </v>
      </c>
      <c r="D322" s="105" t="str">
        <f>'2026'!D322</f>
        <v xml:space="preserve"> </v>
      </c>
      <c r="E322" s="106" t="str">
        <f>'2026'!E322</f>
        <v xml:space="preserve"> </v>
      </c>
      <c r="F322" s="106" t="str">
        <f>'2026'!F322</f>
        <v xml:space="preserve"> </v>
      </c>
      <c r="G322" s="36"/>
      <c r="H322" s="36" t="e">
        <f ca="1">IF(OR(ISBLANK(タスク_開始),ISBLANK(タスク_終了)),"",タスク_終了-タスク_開始+1)</f>
        <v>#VALUE!</v>
      </c>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row>
    <row r="323" spans="1:64" s="37" customFormat="1" ht="30" customHeight="1">
      <c r="A323" s="20"/>
      <c r="B323" s="103" t="str">
        <f>'2026'!B323</f>
        <v>8-05.○○機能（xxxxx）</v>
      </c>
      <c r="C323" s="104" t="str">
        <f>'2026'!C323</f>
        <v xml:space="preserve"> </v>
      </c>
      <c r="D323" s="105" t="str">
        <f>'2026'!D323</f>
        <v xml:space="preserve"> </v>
      </c>
      <c r="E323" s="106" t="str">
        <f>'2026'!E323</f>
        <v xml:space="preserve"> </v>
      </c>
      <c r="F323" s="106" t="str">
        <f>'2026'!F323</f>
        <v xml:space="preserve"> </v>
      </c>
      <c r="G323" s="36"/>
      <c r="H323" s="36" t="e">
        <f ca="1">IF(OR(ISBLANK(タスク_開始),ISBLANK(タスク_終了)),"",タスク_終了-タスク_開始+1)</f>
        <v>#VALUE!</v>
      </c>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row>
    <row r="324" spans="1:64" s="37" customFormat="1" ht="30" customHeight="1">
      <c r="A324" s="20"/>
      <c r="B324" s="103" t="str">
        <f>'2026'!B324</f>
        <v>8-06.○○機能（xxxxx）</v>
      </c>
      <c r="C324" s="104" t="str">
        <f>'2026'!C324</f>
        <v xml:space="preserve"> </v>
      </c>
      <c r="D324" s="105" t="str">
        <f>'2026'!D324</f>
        <v xml:space="preserve"> </v>
      </c>
      <c r="E324" s="106" t="str">
        <f>'2026'!E324</f>
        <v xml:space="preserve"> </v>
      </c>
      <c r="F324" s="106" t="str">
        <f>'2026'!F324</f>
        <v xml:space="preserve"> </v>
      </c>
      <c r="G324" s="36"/>
      <c r="H324" s="36" t="e">
        <f ca="1">IF(OR(ISBLANK(タスク_開始),ISBLANK(タスク_終了)),"",タスク_終了-タスク_開始+1)</f>
        <v>#VALUE!</v>
      </c>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row>
    <row r="325" spans="1:64" s="37" customFormat="1" ht="30" customHeight="1">
      <c r="A325" s="20"/>
      <c r="B325" s="103" t="str">
        <f>'2026'!B325</f>
        <v>8-07.○○機能（xxxxx）</v>
      </c>
      <c r="C325" s="104" t="str">
        <f>'2026'!C325</f>
        <v xml:space="preserve"> </v>
      </c>
      <c r="D325" s="105" t="str">
        <f>'2026'!D325</f>
        <v xml:space="preserve"> </v>
      </c>
      <c r="E325" s="106" t="str">
        <f>'2026'!E325</f>
        <v xml:space="preserve"> </v>
      </c>
      <c r="F325" s="106" t="str">
        <f>'2026'!F325</f>
        <v xml:space="preserve"> </v>
      </c>
      <c r="G325" s="36"/>
      <c r="H325" s="36" t="e">
        <f ca="1">IF(OR(ISBLANK(タスク_開始),ISBLANK(タスク_終了)),"",タスク_終了-タスク_開始+1)</f>
        <v>#VALUE!</v>
      </c>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row>
    <row r="326" spans="1:64" s="37" customFormat="1" ht="30" customHeight="1">
      <c r="A326" s="20"/>
      <c r="B326" s="103" t="str">
        <f>'2026'!B326</f>
        <v>8-08.○○機能（xxxxx）</v>
      </c>
      <c r="C326" s="104" t="str">
        <f>'2026'!C326</f>
        <v xml:space="preserve"> </v>
      </c>
      <c r="D326" s="105" t="str">
        <f>'2026'!D326</f>
        <v xml:space="preserve"> </v>
      </c>
      <c r="E326" s="106" t="str">
        <f>'2026'!E326</f>
        <v xml:space="preserve"> </v>
      </c>
      <c r="F326" s="106" t="str">
        <f>'2026'!F326</f>
        <v xml:space="preserve"> </v>
      </c>
      <c r="G326" s="36"/>
      <c r="H326" s="36" t="e">
        <f ca="1">IF(OR(ISBLANK(タスク_開始),ISBLANK(タスク_終了)),"",タスク_終了-タスク_開始+1)</f>
        <v>#VALUE!</v>
      </c>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row>
    <row r="327" spans="1:64" s="37" customFormat="1" ht="30" customHeight="1">
      <c r="A327" s="20"/>
      <c r="B327" s="103" t="str">
        <f>'2026'!B327</f>
        <v>8-09.○○機能（xxxxx）</v>
      </c>
      <c r="C327" s="104" t="str">
        <f>'2026'!C327</f>
        <v xml:space="preserve"> </v>
      </c>
      <c r="D327" s="105" t="str">
        <f>'2026'!D327</f>
        <v xml:space="preserve"> </v>
      </c>
      <c r="E327" s="106" t="str">
        <f>'2026'!E327</f>
        <v xml:space="preserve"> </v>
      </c>
      <c r="F327" s="106" t="str">
        <f>'2026'!F327</f>
        <v xml:space="preserve"> </v>
      </c>
      <c r="G327" s="36"/>
      <c r="H327" s="36" t="e">
        <f ca="1">IF(OR(ISBLANK(タスク_開始),ISBLANK(タスク_終了)),"",タスク_終了-タスク_開始+1)</f>
        <v>#VALUE!</v>
      </c>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row>
    <row r="328" spans="1:64" s="37" customFormat="1" ht="30" customHeight="1">
      <c r="A328" s="20"/>
      <c r="B328" s="103" t="str">
        <f>'2026'!B328</f>
        <v>8-10.○○機能（xxxxx）</v>
      </c>
      <c r="C328" s="104" t="str">
        <f>'2026'!C328</f>
        <v xml:space="preserve"> </v>
      </c>
      <c r="D328" s="105" t="str">
        <f>'2026'!D328</f>
        <v xml:space="preserve"> </v>
      </c>
      <c r="E328" s="106" t="str">
        <f>'2026'!E328</f>
        <v xml:space="preserve"> </v>
      </c>
      <c r="F328" s="106" t="str">
        <f>'2026'!F328</f>
        <v xml:space="preserve"> </v>
      </c>
      <c r="G328" s="36"/>
      <c r="H328" s="36" t="e">
        <f ca="1">IF(OR(ISBLANK(タスク_開始),ISBLANK(タスク_終了)),"",タスク_終了-タスク_開始+1)</f>
        <v>#VALUE!</v>
      </c>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row>
    <row r="329" spans="1:64" s="37" customFormat="1" ht="30" customHeight="1">
      <c r="A329" s="20"/>
      <c r="B329" s="103" t="str">
        <f>'2026'!B329</f>
        <v>8-11.○○機能（xxxxx）</v>
      </c>
      <c r="C329" s="104" t="str">
        <f>'2026'!C329</f>
        <v xml:space="preserve"> </v>
      </c>
      <c r="D329" s="105" t="str">
        <f>'2026'!D329</f>
        <v xml:space="preserve"> </v>
      </c>
      <c r="E329" s="106" t="str">
        <f>'2026'!E329</f>
        <v xml:space="preserve"> </v>
      </c>
      <c r="F329" s="106" t="str">
        <f>'2026'!F329</f>
        <v xml:space="preserve"> </v>
      </c>
      <c r="G329" s="36"/>
      <c r="H329" s="36" t="e">
        <f ca="1">IF(OR(ISBLANK(タスク_開始),ISBLANK(タスク_終了)),"",タスク_終了-タスク_開始+1)</f>
        <v>#VALUE!</v>
      </c>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row>
    <row r="330" spans="1:64" s="37" customFormat="1" ht="30" customHeight="1">
      <c r="A330" s="20"/>
      <c r="B330" s="103" t="str">
        <f>'2026'!B330</f>
        <v>8-12.○○機能（xxxxx）</v>
      </c>
      <c r="C330" s="104" t="str">
        <f>'2026'!C330</f>
        <v xml:space="preserve"> </v>
      </c>
      <c r="D330" s="105" t="str">
        <f>'2026'!D330</f>
        <v xml:space="preserve"> </v>
      </c>
      <c r="E330" s="106" t="str">
        <f>'2026'!E330</f>
        <v xml:space="preserve"> </v>
      </c>
      <c r="F330" s="106" t="str">
        <f>'2026'!F330</f>
        <v xml:space="preserve"> </v>
      </c>
      <c r="G330" s="36"/>
      <c r="H330" s="36" t="e">
        <f ca="1">IF(OR(ISBLANK(タスク_開始),ISBLANK(タスク_終了)),"",タスク_終了-タスク_開始+1)</f>
        <v>#VALUE!</v>
      </c>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row>
    <row r="331" spans="1:64" s="37" customFormat="1" ht="30" customHeight="1">
      <c r="A331" s="20"/>
      <c r="B331" s="103" t="str">
        <f>'2026'!B331</f>
        <v>8-13.○○機能（xxxxx）</v>
      </c>
      <c r="C331" s="104" t="str">
        <f>'2026'!C331</f>
        <v xml:space="preserve"> </v>
      </c>
      <c r="D331" s="105" t="str">
        <f>'2026'!D331</f>
        <v xml:space="preserve"> </v>
      </c>
      <c r="E331" s="106" t="str">
        <f>'2026'!E331</f>
        <v xml:space="preserve"> </v>
      </c>
      <c r="F331" s="106" t="str">
        <f>'2026'!F331</f>
        <v xml:space="preserve"> </v>
      </c>
      <c r="G331" s="36"/>
      <c r="H331" s="36" t="e">
        <f ca="1">IF(OR(ISBLANK(タスク_開始),ISBLANK(タスク_終了)),"",タスク_終了-タスク_開始+1)</f>
        <v>#VALUE!</v>
      </c>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row>
    <row r="332" spans="1:64" s="37" customFormat="1" ht="30" customHeight="1">
      <c r="A332" s="20"/>
      <c r="B332" s="103" t="str">
        <f>'2026'!B332</f>
        <v>8-14.○○機能（xxxxx）</v>
      </c>
      <c r="C332" s="104" t="str">
        <f>'2026'!C332</f>
        <v xml:space="preserve"> </v>
      </c>
      <c r="D332" s="105" t="str">
        <f>'2026'!D332</f>
        <v xml:space="preserve"> </v>
      </c>
      <c r="E332" s="106" t="str">
        <f>'2026'!E332</f>
        <v xml:space="preserve"> </v>
      </c>
      <c r="F332" s="106" t="str">
        <f>'2026'!F332</f>
        <v xml:space="preserve"> </v>
      </c>
      <c r="G332" s="36"/>
      <c r="H332" s="36" t="e">
        <f ca="1">IF(OR(ISBLANK(タスク_開始),ISBLANK(タスク_終了)),"",タスク_終了-タスク_開始+1)</f>
        <v>#VALUE!</v>
      </c>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row>
    <row r="333" outlineLevel="1" hidden="1" spans="1:64" s="37" customFormat="1" ht="30" customHeight="1">
      <c r="A333" s="20"/>
      <c r="B333" s="103" t="str">
        <f>'2026'!B333</f>
        <v>8-15.○○機能（xxxxx）</v>
      </c>
      <c r="C333" s="104" t="str">
        <f>'2026'!C333</f>
        <v xml:space="preserve"> </v>
      </c>
      <c r="D333" s="105" t="str">
        <f>'2026'!D333</f>
        <v xml:space="preserve"> </v>
      </c>
      <c r="E333" s="106" t="str">
        <f>'2026'!E333</f>
        <v xml:space="preserve"> </v>
      </c>
      <c r="F333" s="106" t="str">
        <f>'2026'!F333</f>
        <v xml:space="preserve"> </v>
      </c>
      <c r="G333" s="36"/>
      <c r="H333" s="36" t="e">
        <f ca="1">IF(OR(ISBLANK(タスク_開始),ISBLANK(タスク_終了)),"",タスク_終了-タスク_開始+1)</f>
        <v>#VALUE!</v>
      </c>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row>
    <row r="334" outlineLevel="1" hidden="1" spans="1:64" s="37" customFormat="1" ht="30" customHeight="1">
      <c r="A334" s="20"/>
      <c r="B334" s="103" t="str">
        <f>'2026'!B334</f>
        <v>8-16.○○機能（xxxxx）</v>
      </c>
      <c r="C334" s="104" t="str">
        <f>'2026'!C334</f>
        <v xml:space="preserve"> </v>
      </c>
      <c r="D334" s="105" t="str">
        <f>'2026'!D334</f>
        <v xml:space="preserve"> </v>
      </c>
      <c r="E334" s="106" t="str">
        <f>'2026'!E334</f>
        <v xml:space="preserve"> </v>
      </c>
      <c r="F334" s="106" t="str">
        <f>'2026'!F334</f>
        <v xml:space="preserve"> </v>
      </c>
      <c r="G334" s="36"/>
      <c r="H334" s="36" t="e">
        <f ca="1">IF(OR(ISBLANK(タスク_開始),ISBLANK(タスク_終了)),"",タスク_終了-タスク_開始+1)</f>
        <v>#VALUE!</v>
      </c>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row>
    <row r="335" outlineLevel="1" hidden="1" spans="1:64" s="37" customFormat="1" ht="30" customHeight="1">
      <c r="A335" s="20"/>
      <c r="B335" s="103" t="str">
        <f>'2026'!B335</f>
        <v>8-17.○○機能（xxxxx）</v>
      </c>
      <c r="C335" s="104" t="str">
        <f>'2026'!C335</f>
        <v xml:space="preserve"> </v>
      </c>
      <c r="D335" s="105" t="str">
        <f>'2026'!D335</f>
        <v xml:space="preserve"> </v>
      </c>
      <c r="E335" s="106" t="str">
        <f>'2026'!E335</f>
        <v xml:space="preserve"> </v>
      </c>
      <c r="F335" s="106" t="str">
        <f>'2026'!F335</f>
        <v xml:space="preserve"> </v>
      </c>
      <c r="G335" s="36"/>
      <c r="H335" s="36" t="e">
        <f ca="1">IF(OR(ISBLANK(タスク_開始),ISBLANK(タスク_終了)),"",タスク_終了-タスク_開始+1)</f>
        <v>#VALUE!</v>
      </c>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row>
    <row r="336" outlineLevel="1" hidden="1" spans="1:64" s="37" customFormat="1" ht="30" customHeight="1">
      <c r="A336" s="20"/>
      <c r="B336" s="103" t="str">
        <f>'2026'!B336</f>
        <v>8-18.○○機能（xxxxx）</v>
      </c>
      <c r="C336" s="104" t="str">
        <f>'2026'!C336</f>
        <v xml:space="preserve"> </v>
      </c>
      <c r="D336" s="105" t="str">
        <f>'2026'!D336</f>
        <v xml:space="preserve"> </v>
      </c>
      <c r="E336" s="106" t="str">
        <f>'2026'!E336</f>
        <v xml:space="preserve"> </v>
      </c>
      <c r="F336" s="106" t="str">
        <f>'2026'!F336</f>
        <v xml:space="preserve"> </v>
      </c>
      <c r="G336" s="36"/>
      <c r="H336" s="36" t="e">
        <f ca="1">IF(OR(ISBLANK(タスク_開始),ISBLANK(タスク_終了)),"",タスク_終了-タスク_開始+1)</f>
        <v>#VALUE!</v>
      </c>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row>
    <row r="337" outlineLevel="1" hidden="1" spans="1:64" s="37" customFormat="1" ht="30" customHeight="1">
      <c r="A337" s="20"/>
      <c r="B337" s="103" t="str">
        <f>'2026'!B337</f>
        <v>8-19.○○機能（xxxxx）</v>
      </c>
      <c r="C337" s="104" t="str">
        <f>'2026'!C337</f>
        <v xml:space="preserve"> </v>
      </c>
      <c r="D337" s="105" t="str">
        <f>'2026'!D337</f>
        <v xml:space="preserve"> </v>
      </c>
      <c r="E337" s="106" t="str">
        <f>'2026'!E337</f>
        <v xml:space="preserve"> </v>
      </c>
      <c r="F337" s="106" t="str">
        <f>'2026'!F337</f>
        <v xml:space="preserve"> </v>
      </c>
      <c r="G337" s="36"/>
      <c r="H337" s="36" t="e">
        <f ca="1">IF(OR(ISBLANK(タスク_開始),ISBLANK(タスク_終了)),"",タスク_終了-タスク_開始+1)</f>
        <v>#VALUE!</v>
      </c>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row>
    <row r="338" outlineLevel="1" hidden="1" spans="1:64" s="37" customFormat="1" ht="30" customHeight="1">
      <c r="A338" s="20"/>
      <c r="B338" s="103" t="str">
        <f>'2026'!B338</f>
        <v>8-20.○○機能（xxxxx）</v>
      </c>
      <c r="C338" s="104" t="str">
        <f>'2026'!C338</f>
        <v xml:space="preserve"> </v>
      </c>
      <c r="D338" s="105" t="str">
        <f>'2026'!D338</f>
        <v xml:space="preserve"> </v>
      </c>
      <c r="E338" s="106" t="str">
        <f>'2026'!E338</f>
        <v xml:space="preserve"> </v>
      </c>
      <c r="F338" s="106" t="str">
        <f>'2026'!F338</f>
        <v xml:space="preserve"> </v>
      </c>
      <c r="G338" s="36"/>
      <c r="H338" s="36" t="e">
        <f ca="1">IF(OR(ISBLANK(タスク_開始),ISBLANK(タスク_終了)),"",タスク_終了-タスク_開始+1)</f>
        <v>#VALUE!</v>
      </c>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row>
    <row r="339" outlineLevel="1" hidden="1" spans="1:64" s="37" customFormat="1" ht="30" customHeight="1">
      <c r="A339" s="20"/>
      <c r="B339" s="103" t="str">
        <f>'2026'!B339</f>
        <v>8-21.○○機能（xxxxx）</v>
      </c>
      <c r="C339" s="104" t="str">
        <f>'2026'!C339</f>
        <v xml:space="preserve"> </v>
      </c>
      <c r="D339" s="105" t="str">
        <f>'2026'!D339</f>
        <v xml:space="preserve"> </v>
      </c>
      <c r="E339" s="106" t="str">
        <f>'2026'!E339</f>
        <v xml:space="preserve"> </v>
      </c>
      <c r="F339" s="106" t="str">
        <f>'2026'!F339</f>
        <v xml:space="preserve"> </v>
      </c>
      <c r="G339" s="36"/>
      <c r="H339" s="36" t="e">
        <f ca="1">IF(OR(ISBLANK(タスク_開始),ISBLANK(タスク_終了)),"",タスク_終了-タスク_開始+1)</f>
        <v>#VALUE!</v>
      </c>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row>
    <row r="340" outlineLevel="1" hidden="1" spans="1:64" s="37" customFormat="1" ht="30" customHeight="1">
      <c r="A340" s="20"/>
      <c r="B340" s="103" t="str">
        <f>'2026'!B340</f>
        <v>8-22.○○機能（xxxxx）</v>
      </c>
      <c r="C340" s="104" t="str">
        <f>'2026'!C340</f>
        <v xml:space="preserve"> </v>
      </c>
      <c r="D340" s="105" t="str">
        <f>'2026'!D340</f>
        <v xml:space="preserve"> </v>
      </c>
      <c r="E340" s="106" t="str">
        <f>'2026'!E340</f>
        <v xml:space="preserve"> </v>
      </c>
      <c r="F340" s="106" t="str">
        <f>'2026'!F340</f>
        <v xml:space="preserve"> </v>
      </c>
      <c r="G340" s="36"/>
      <c r="H340" s="36" t="e">
        <f ca="1">IF(OR(ISBLANK(タスク_開始),ISBLANK(タスク_終了)),"",タスク_終了-タスク_開始+1)</f>
        <v>#VALUE!</v>
      </c>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row>
    <row r="341" outlineLevel="1" hidden="1" spans="1:64" s="37" customFormat="1" ht="30" customHeight="1">
      <c r="A341" s="20"/>
      <c r="B341" s="103" t="str">
        <f>'2026'!B341</f>
        <v>8-23.○○機能（xxxxx）</v>
      </c>
      <c r="C341" s="104" t="str">
        <f>'2026'!C341</f>
        <v xml:space="preserve"> </v>
      </c>
      <c r="D341" s="105" t="str">
        <f>'2026'!D341</f>
        <v xml:space="preserve"> </v>
      </c>
      <c r="E341" s="106" t="str">
        <f>'2026'!E341</f>
        <v xml:space="preserve"> </v>
      </c>
      <c r="F341" s="106" t="str">
        <f>'2026'!F341</f>
        <v xml:space="preserve"> </v>
      </c>
      <c r="G341" s="36"/>
      <c r="H341" s="36" t="e">
        <f ca="1">IF(OR(ISBLANK(タスク_開始),ISBLANK(タスク_終了)),"",タスク_終了-タスク_開始+1)</f>
        <v>#VALUE!</v>
      </c>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row>
    <row r="342" outlineLevel="1" hidden="1" spans="1:64" s="37" customFormat="1" ht="30" customHeight="1">
      <c r="A342" s="20"/>
      <c r="B342" s="103" t="str">
        <f>'2026'!B342</f>
        <v>8-24.○○機能（xxxxx）</v>
      </c>
      <c r="C342" s="104" t="str">
        <f>'2026'!C342</f>
        <v xml:space="preserve"> </v>
      </c>
      <c r="D342" s="105" t="str">
        <f>'2026'!D342</f>
        <v xml:space="preserve"> </v>
      </c>
      <c r="E342" s="106" t="str">
        <f>'2026'!E342</f>
        <v xml:space="preserve"> </v>
      </c>
      <c r="F342" s="106" t="str">
        <f>'2026'!F342</f>
        <v xml:space="preserve"> </v>
      </c>
      <c r="G342" s="36"/>
      <c r="H342" s="36" t="e">
        <f ca="1">IF(OR(ISBLANK(タスク_開始),ISBLANK(タスク_終了)),"",タスク_終了-タスク_開始+1)</f>
        <v>#VALUE!</v>
      </c>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row>
    <row r="343" outlineLevel="1" hidden="1" spans="1:64" s="37" customFormat="1" ht="30" customHeight="1">
      <c r="A343" s="20"/>
      <c r="B343" s="103" t="str">
        <f>'2026'!B343</f>
        <v>8-25.○○機能（xxxxx）</v>
      </c>
      <c r="C343" s="104" t="str">
        <f>'2026'!C343</f>
        <v xml:space="preserve"> </v>
      </c>
      <c r="D343" s="105" t="str">
        <f>'2026'!D343</f>
        <v xml:space="preserve"> </v>
      </c>
      <c r="E343" s="106" t="str">
        <f>'2026'!E343</f>
        <v xml:space="preserve"> </v>
      </c>
      <c r="F343" s="106" t="str">
        <f>'2026'!F343</f>
        <v xml:space="preserve"> </v>
      </c>
      <c r="G343" s="36"/>
      <c r="H343" s="36" t="e">
        <f ca="1">IF(OR(ISBLANK(タスク_開始),ISBLANK(タスク_終了)),"",タスク_終了-タスク_開始+1)</f>
        <v>#VALUE!</v>
      </c>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row>
    <row r="344" outlineLevel="1" hidden="1" spans="1:64" s="37" customFormat="1" ht="30" customHeight="1">
      <c r="A344" s="20"/>
      <c r="B344" s="103" t="str">
        <f>'2026'!B344</f>
        <v>8-26.○○機能（xxxxx）</v>
      </c>
      <c r="C344" s="104" t="str">
        <f>'2026'!C344</f>
        <v xml:space="preserve"> </v>
      </c>
      <c r="D344" s="105" t="str">
        <f>'2026'!D344</f>
        <v xml:space="preserve"> </v>
      </c>
      <c r="E344" s="106" t="str">
        <f>'2026'!E344</f>
        <v xml:space="preserve"> </v>
      </c>
      <c r="F344" s="106" t="str">
        <f>'2026'!F344</f>
        <v xml:space="preserve"> </v>
      </c>
      <c r="G344" s="36"/>
      <c r="H344" s="36" t="e">
        <f ca="1">IF(OR(ISBLANK(タスク_開始),ISBLANK(タスク_終了)),"",タスク_終了-タスク_開始+1)</f>
        <v>#VALUE!</v>
      </c>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row>
    <row r="345" outlineLevel="1" hidden="1" spans="1:64" s="37" customFormat="1" ht="30" customHeight="1">
      <c r="A345" s="20"/>
      <c r="B345" s="103" t="str">
        <f>'2026'!B345</f>
        <v>8-27.○○機能（xxxxx）</v>
      </c>
      <c r="C345" s="104" t="str">
        <f>'2026'!C345</f>
        <v xml:space="preserve"> </v>
      </c>
      <c r="D345" s="105" t="str">
        <f>'2026'!D345</f>
        <v xml:space="preserve"> </v>
      </c>
      <c r="E345" s="106" t="str">
        <f>'2026'!E345</f>
        <v xml:space="preserve"> </v>
      </c>
      <c r="F345" s="106" t="str">
        <f>'2026'!F345</f>
        <v xml:space="preserve"> </v>
      </c>
      <c r="G345" s="36"/>
      <c r="H345" s="36" t="e">
        <f ca="1">IF(OR(ISBLANK(タスク_開始),ISBLANK(タスク_終了)),"",タスク_終了-タスク_開始+1)</f>
        <v>#VALUE!</v>
      </c>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row>
    <row r="346" outlineLevel="1" hidden="1" spans="1:64" s="37" customFormat="1" ht="30" customHeight="1">
      <c r="A346" s="20"/>
      <c r="B346" s="103" t="str">
        <f>'2026'!B346</f>
        <v>8-28.○○機能（xxxxx）</v>
      </c>
      <c r="C346" s="104" t="str">
        <f>'2026'!C346</f>
        <v xml:space="preserve"> </v>
      </c>
      <c r="D346" s="105" t="str">
        <f>'2026'!D346</f>
        <v xml:space="preserve"> </v>
      </c>
      <c r="E346" s="106" t="str">
        <f>'2026'!E346</f>
        <v xml:space="preserve"> </v>
      </c>
      <c r="F346" s="106" t="str">
        <f>'2026'!F346</f>
        <v xml:space="preserve"> </v>
      </c>
      <c r="G346" s="36"/>
      <c r="H346" s="36" t="e">
        <f ca="1">IF(OR(ISBLANK(タスク_開始),ISBLANK(タスク_終了)),"",タスク_終了-タスク_開始+1)</f>
        <v>#VALUE!</v>
      </c>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row>
    <row r="347" outlineLevel="1" hidden="1" spans="1:64" s="37" customFormat="1" ht="30" customHeight="1">
      <c r="A347" s="20"/>
      <c r="B347" s="103" t="str">
        <f>'2026'!B347</f>
        <v>8-29.○○機能（xxxxx）</v>
      </c>
      <c r="C347" s="104" t="str">
        <f>'2026'!C347</f>
        <v xml:space="preserve"> </v>
      </c>
      <c r="D347" s="105" t="str">
        <f>'2026'!D347</f>
        <v xml:space="preserve"> </v>
      </c>
      <c r="E347" s="106" t="str">
        <f>'2026'!E347</f>
        <v xml:space="preserve"> </v>
      </c>
      <c r="F347" s="106" t="str">
        <f>'2026'!F347</f>
        <v xml:space="preserve"> </v>
      </c>
      <c r="G347" s="36"/>
      <c r="H347" s="36" t="e">
        <f ca="1">IF(OR(ISBLANK(タスク_開始),ISBLANK(タスク_終了)),"",タスク_終了-タスク_開始+1)</f>
        <v>#VALUE!</v>
      </c>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row>
    <row r="348" outlineLevel="1" hidden="1" spans="1:64" s="37" customFormat="1" ht="30" customHeight="1">
      <c r="A348" s="20"/>
      <c r="B348" s="103" t="str">
        <f>'2026'!B348</f>
        <v>8-30.○○機能（xxxxx）</v>
      </c>
      <c r="C348" s="104" t="str">
        <f>'2026'!C348</f>
        <v xml:space="preserve"> </v>
      </c>
      <c r="D348" s="105" t="str">
        <f>'2026'!D348</f>
        <v xml:space="preserve"> </v>
      </c>
      <c r="E348" s="106" t="str">
        <f>'2026'!E348</f>
        <v xml:space="preserve"> </v>
      </c>
      <c r="F348" s="106" t="str">
        <f>'2026'!F348</f>
        <v xml:space="preserve"> </v>
      </c>
      <c r="G348" s="36"/>
      <c r="H348" s="36" t="e">
        <f ca="1">IF(OR(ISBLANK(タスク_開始),ISBLANK(タスク_終了)),"",タスク_終了-タスク_開始+1)</f>
        <v>#VALUE!</v>
      </c>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row>
    <row r="349" collapsed="1" spans="1:64" s="37" customFormat="1" ht="30" customHeight="1">
      <c r="A349" s="20" t="s">
        <v>74</v>
      </c>
      <c r="B349" s="98" t="s">
        <v>367</v>
      </c>
      <c r="C349" s="99"/>
      <c r="D349" s="100"/>
      <c r="E349" s="101"/>
      <c r="F349" s="102"/>
      <c r="G349" s="36"/>
      <c r="H349" s="36" t="str">
        <f ca="1">IF(OR(ISBLANK(タスク_開始),ISBLANK(タスク_終了)),"",タスク_終了-タスク_開始+1)</f>
        <v/>
      </c>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row>
    <row r="350" spans="1:64" s="37" customFormat="1" ht="30" customHeight="1">
      <c r="A350" s="20"/>
      <c r="B350" s="103" t="str">
        <f>'2026'!B350</f>
        <v>9-01.○○機能（xxxxx）</v>
      </c>
      <c r="C350" s="104" t="str">
        <f>'2026'!C350</f>
        <v xml:space="preserve"> </v>
      </c>
      <c r="D350" s="105" t="str">
        <f>'2026'!D350</f>
        <v xml:space="preserve"> </v>
      </c>
      <c r="E350" s="106" t="str">
        <f>'2026'!E350</f>
        <v xml:space="preserve"> </v>
      </c>
      <c r="F350" s="106" t="str">
        <f>'2026'!F350</f>
        <v xml:space="preserve"> </v>
      </c>
      <c r="G350" s="36"/>
      <c r="H350" s="36" t="e">
        <f ca="1">IF(OR(ISBLANK(タスク_開始),ISBLANK(タスク_終了)),"",タスク_終了-タスク_開始+1)</f>
        <v>#VALUE!</v>
      </c>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row>
    <row r="351" spans="1:64" s="37" customFormat="1" ht="30" customHeight="1">
      <c r="A351" s="20"/>
      <c r="B351" s="103" t="str">
        <f>'2026'!B351</f>
        <v>9-02.○○機能（xxxxx）</v>
      </c>
      <c r="C351" s="104" t="str">
        <f>'2026'!C351</f>
        <v xml:space="preserve"> </v>
      </c>
      <c r="D351" s="105" t="str">
        <f>'2026'!D351</f>
        <v xml:space="preserve"> </v>
      </c>
      <c r="E351" s="106" t="str">
        <f>'2026'!E351</f>
        <v xml:space="preserve"> </v>
      </c>
      <c r="F351" s="106" t="str">
        <f>'2026'!F351</f>
        <v xml:space="preserve"> </v>
      </c>
      <c r="G351" s="36"/>
      <c r="H351" s="36" t="e">
        <f ca="1">IF(OR(ISBLANK(タスク_開始),ISBLANK(タスク_終了)),"",タスク_終了-タスク_開始+1)</f>
        <v>#VALUE!</v>
      </c>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row>
    <row r="352" spans="1:64" s="37" customFormat="1" ht="30" customHeight="1">
      <c r="A352" s="20"/>
      <c r="B352" s="103" t="str">
        <f>'2026'!B352</f>
        <v>9-03.○○機能（xxxxx）</v>
      </c>
      <c r="C352" s="104" t="str">
        <f>'2026'!C352</f>
        <v xml:space="preserve"> </v>
      </c>
      <c r="D352" s="105" t="str">
        <f>'2026'!D352</f>
        <v xml:space="preserve"> </v>
      </c>
      <c r="E352" s="106" t="str">
        <f>'2026'!E352</f>
        <v xml:space="preserve"> </v>
      </c>
      <c r="F352" s="106" t="str">
        <f>'2026'!F352</f>
        <v xml:space="preserve"> </v>
      </c>
      <c r="G352" s="36"/>
      <c r="H352" s="36" t="e">
        <f ca="1">IF(OR(ISBLANK(タスク_開始),ISBLANK(タスク_終了)),"",タスク_終了-タスク_開始+1)</f>
        <v>#VALUE!</v>
      </c>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row>
    <row r="353" spans="1:64" s="37" customFormat="1" ht="30" customHeight="1">
      <c r="A353" s="20"/>
      <c r="B353" s="103" t="str">
        <f>'2026'!B353</f>
        <v>9-04.○○機能（xxxxx）</v>
      </c>
      <c r="C353" s="104" t="str">
        <f>'2026'!C353</f>
        <v xml:space="preserve"> </v>
      </c>
      <c r="D353" s="105" t="str">
        <f>'2026'!D353</f>
        <v xml:space="preserve"> </v>
      </c>
      <c r="E353" s="106" t="str">
        <f>'2026'!E353</f>
        <v xml:space="preserve"> </v>
      </c>
      <c r="F353" s="106" t="str">
        <f>'2026'!F353</f>
        <v xml:space="preserve"> </v>
      </c>
      <c r="G353" s="36"/>
      <c r="H353" s="36" t="e">
        <f ca="1">IF(OR(ISBLANK(タスク_開始),ISBLANK(タスク_終了)),"",タスク_終了-タスク_開始+1)</f>
        <v>#VALUE!</v>
      </c>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row>
    <row r="354" spans="1:64" s="37" customFormat="1" ht="30" customHeight="1">
      <c r="A354" s="20"/>
      <c r="B354" s="103" t="str">
        <f>'2026'!B354</f>
        <v>9-05.○○機能（xxxxx）</v>
      </c>
      <c r="C354" s="104" t="str">
        <f>'2026'!C354</f>
        <v xml:space="preserve"> </v>
      </c>
      <c r="D354" s="105" t="str">
        <f>'2026'!D354</f>
        <v xml:space="preserve"> </v>
      </c>
      <c r="E354" s="106" t="str">
        <f>'2026'!E354</f>
        <v xml:space="preserve"> </v>
      </c>
      <c r="F354" s="106" t="str">
        <f>'2026'!F354</f>
        <v xml:space="preserve"> </v>
      </c>
      <c r="G354" s="36"/>
      <c r="H354" s="36" t="e">
        <f ca="1">IF(OR(ISBLANK(タスク_開始),ISBLANK(タスク_終了)),"",タスク_終了-タスク_開始+1)</f>
        <v>#VALUE!</v>
      </c>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row>
    <row r="355" spans="1:64" s="37" customFormat="1" ht="30" customHeight="1">
      <c r="A355" s="20"/>
      <c r="B355" s="103" t="str">
        <f>'2026'!B355</f>
        <v>9-06.○○機能（xxxxx）</v>
      </c>
      <c r="C355" s="104" t="str">
        <f>'2026'!C355</f>
        <v xml:space="preserve"> </v>
      </c>
      <c r="D355" s="105" t="str">
        <f>'2026'!D355</f>
        <v xml:space="preserve"> </v>
      </c>
      <c r="E355" s="106" t="str">
        <f>'2026'!E355</f>
        <v xml:space="preserve"> </v>
      </c>
      <c r="F355" s="106" t="str">
        <f>'2026'!F355</f>
        <v xml:space="preserve"> </v>
      </c>
      <c r="G355" s="36"/>
      <c r="H355" s="36" t="e">
        <f ca="1">IF(OR(ISBLANK(タスク_開始),ISBLANK(タスク_終了)),"",タスク_終了-タスク_開始+1)</f>
        <v>#VALUE!</v>
      </c>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row>
    <row r="356" spans="1:64" s="37" customFormat="1" ht="30" customHeight="1">
      <c r="A356" s="20"/>
      <c r="B356" s="103" t="str">
        <f>'2026'!B356</f>
        <v>9-07.○○機能（xxxxx）</v>
      </c>
      <c r="C356" s="104" t="str">
        <f>'2026'!C356</f>
        <v xml:space="preserve"> </v>
      </c>
      <c r="D356" s="105" t="str">
        <f>'2026'!D356</f>
        <v xml:space="preserve"> </v>
      </c>
      <c r="E356" s="106" t="str">
        <f>'2026'!E356</f>
        <v xml:space="preserve"> </v>
      </c>
      <c r="F356" s="106" t="str">
        <f>'2026'!F356</f>
        <v xml:space="preserve"> </v>
      </c>
      <c r="G356" s="36"/>
      <c r="H356" s="36" t="e">
        <f ca="1">IF(OR(ISBLANK(タスク_開始),ISBLANK(タスク_終了)),"",タスク_終了-タスク_開始+1)</f>
        <v>#VALUE!</v>
      </c>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row>
    <row r="357" spans="1:64" s="37" customFormat="1" ht="30" customHeight="1">
      <c r="A357" s="20"/>
      <c r="B357" s="103" t="str">
        <f>'2026'!B357</f>
        <v>9-08.○○機能（xxxxx）</v>
      </c>
      <c r="C357" s="104" t="str">
        <f>'2026'!C357</f>
        <v xml:space="preserve"> </v>
      </c>
      <c r="D357" s="105" t="str">
        <f>'2026'!D357</f>
        <v xml:space="preserve"> </v>
      </c>
      <c r="E357" s="106" t="str">
        <f>'2026'!E357</f>
        <v xml:space="preserve"> </v>
      </c>
      <c r="F357" s="106" t="str">
        <f>'2026'!F357</f>
        <v xml:space="preserve"> </v>
      </c>
      <c r="G357" s="36"/>
      <c r="H357" s="36" t="e">
        <f ca="1">IF(OR(ISBLANK(タスク_開始),ISBLANK(タスク_終了)),"",タスク_終了-タスク_開始+1)</f>
        <v>#VALUE!</v>
      </c>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row>
    <row r="358" spans="1:64" s="37" customFormat="1" ht="30" customHeight="1">
      <c r="A358" s="20"/>
      <c r="B358" s="103" t="str">
        <f>'2026'!B358</f>
        <v>9-09.○○機能（xxxxx）</v>
      </c>
      <c r="C358" s="104" t="str">
        <f>'2026'!C358</f>
        <v xml:space="preserve"> </v>
      </c>
      <c r="D358" s="105" t="str">
        <f>'2026'!D358</f>
        <v xml:space="preserve"> </v>
      </c>
      <c r="E358" s="106" t="str">
        <f>'2026'!E358</f>
        <v xml:space="preserve"> </v>
      </c>
      <c r="F358" s="106" t="str">
        <f>'2026'!F358</f>
        <v xml:space="preserve"> </v>
      </c>
      <c r="G358" s="36"/>
      <c r="H358" s="36" t="e">
        <f ca="1">IF(OR(ISBLANK(タスク_開始),ISBLANK(タスク_終了)),"",タスク_終了-タスク_開始+1)</f>
        <v>#VALUE!</v>
      </c>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row>
    <row r="359" spans="1:64" s="37" customFormat="1" ht="30" customHeight="1">
      <c r="A359" s="20"/>
      <c r="B359" s="103" t="str">
        <f>'2026'!B359</f>
        <v>9-10.○○機能（xxxxx）</v>
      </c>
      <c r="C359" s="104" t="str">
        <f>'2026'!C359</f>
        <v xml:space="preserve"> </v>
      </c>
      <c r="D359" s="105" t="str">
        <f>'2026'!D359</f>
        <v xml:space="preserve"> </v>
      </c>
      <c r="E359" s="106" t="str">
        <f>'2026'!E359</f>
        <v xml:space="preserve"> </v>
      </c>
      <c r="F359" s="106" t="str">
        <f>'2026'!F359</f>
        <v xml:space="preserve"> </v>
      </c>
      <c r="G359" s="36"/>
      <c r="H359" s="36" t="e">
        <f ca="1">IF(OR(ISBLANK(タスク_開始),ISBLANK(タスク_終了)),"",タスク_終了-タスク_開始+1)</f>
        <v>#VALUE!</v>
      </c>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row>
    <row r="360" spans="1:64" s="37" customFormat="1" ht="30" customHeight="1">
      <c r="A360" s="20"/>
      <c r="B360" s="103" t="str">
        <f>'2026'!B360</f>
        <v>9-11.○○機能（xxxxx）</v>
      </c>
      <c r="C360" s="104" t="str">
        <f>'2026'!C360</f>
        <v xml:space="preserve"> </v>
      </c>
      <c r="D360" s="105" t="str">
        <f>'2026'!D360</f>
        <v xml:space="preserve"> </v>
      </c>
      <c r="E360" s="106" t="str">
        <f>'2026'!E360</f>
        <v xml:space="preserve"> </v>
      </c>
      <c r="F360" s="106" t="str">
        <f>'2026'!F360</f>
        <v xml:space="preserve"> </v>
      </c>
      <c r="G360" s="36"/>
      <c r="H360" s="36" t="e">
        <f ca="1">IF(OR(ISBLANK(タスク_開始),ISBLANK(タスク_終了)),"",タスク_終了-タスク_開始+1)</f>
        <v>#VALUE!</v>
      </c>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row>
    <row r="361" spans="1:64" s="37" customFormat="1" ht="30" customHeight="1">
      <c r="A361" s="20"/>
      <c r="B361" s="103" t="str">
        <f>'2026'!B361</f>
        <v>9-12.○○機能（xxxxx）</v>
      </c>
      <c r="C361" s="104" t="str">
        <f>'2026'!C361</f>
        <v xml:space="preserve"> </v>
      </c>
      <c r="D361" s="105" t="str">
        <f>'2026'!D361</f>
        <v xml:space="preserve"> </v>
      </c>
      <c r="E361" s="106" t="str">
        <f>'2026'!E361</f>
        <v xml:space="preserve"> </v>
      </c>
      <c r="F361" s="106" t="str">
        <f>'2026'!F361</f>
        <v xml:space="preserve"> </v>
      </c>
      <c r="G361" s="36"/>
      <c r="H361" s="36" t="e">
        <f ca="1">IF(OR(ISBLANK(タスク_開始),ISBLANK(タスク_終了)),"",タスク_終了-タスク_開始+1)</f>
        <v>#VALUE!</v>
      </c>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row>
    <row r="362" spans="1:64" s="37" customFormat="1" ht="30" customHeight="1">
      <c r="A362" s="20"/>
      <c r="B362" s="103" t="str">
        <f>'2026'!B362</f>
        <v>9-13.○○機能（xxxxx）</v>
      </c>
      <c r="C362" s="104" t="str">
        <f>'2026'!C362</f>
        <v xml:space="preserve"> </v>
      </c>
      <c r="D362" s="105" t="str">
        <f>'2026'!D362</f>
        <v xml:space="preserve"> </v>
      </c>
      <c r="E362" s="106" t="str">
        <f>'2026'!E362</f>
        <v xml:space="preserve"> </v>
      </c>
      <c r="F362" s="106" t="str">
        <f>'2026'!F362</f>
        <v xml:space="preserve"> </v>
      </c>
      <c r="G362" s="36"/>
      <c r="H362" s="36" t="e">
        <f ca="1">IF(OR(ISBLANK(タスク_開始),ISBLANK(タスク_終了)),"",タスク_終了-タスク_開始+1)</f>
        <v>#VALUE!</v>
      </c>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row>
    <row r="363" spans="1:64" s="37" customFormat="1" ht="30" customHeight="1">
      <c r="A363" s="20"/>
      <c r="B363" s="103" t="str">
        <f>'2026'!B363</f>
        <v>9-14.○○機能（xxxxx）</v>
      </c>
      <c r="C363" s="104" t="str">
        <f>'2026'!C363</f>
        <v xml:space="preserve"> </v>
      </c>
      <c r="D363" s="105" t="str">
        <f>'2026'!D363</f>
        <v xml:space="preserve"> </v>
      </c>
      <c r="E363" s="106" t="str">
        <f>'2026'!E363</f>
        <v xml:space="preserve"> </v>
      </c>
      <c r="F363" s="106" t="str">
        <f>'2026'!F363</f>
        <v xml:space="preserve"> </v>
      </c>
      <c r="G363" s="36"/>
      <c r="H363" s="36" t="e">
        <f ca="1">IF(OR(ISBLANK(タスク_開始),ISBLANK(タスク_終了)),"",タスク_終了-タスク_開始+1)</f>
        <v>#VALUE!</v>
      </c>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row>
    <row r="364" outlineLevel="1" hidden="1" spans="1:64" s="37" customFormat="1" ht="30" customHeight="1">
      <c r="A364" s="20"/>
      <c r="B364" s="103" t="str">
        <f>'2026'!B364</f>
        <v>9-15.○○機能（xxxxx）</v>
      </c>
      <c r="C364" s="104" t="str">
        <f>'2026'!C364</f>
        <v xml:space="preserve"> </v>
      </c>
      <c r="D364" s="105" t="str">
        <f>'2026'!D364</f>
        <v xml:space="preserve"> </v>
      </c>
      <c r="E364" s="106" t="str">
        <f>'2026'!E364</f>
        <v xml:space="preserve"> </v>
      </c>
      <c r="F364" s="106" t="str">
        <f>'2026'!F364</f>
        <v xml:space="preserve"> </v>
      </c>
      <c r="G364" s="36"/>
      <c r="H364" s="36" t="e">
        <f ca="1">IF(OR(ISBLANK(タスク_開始),ISBLANK(タスク_終了)),"",タスク_終了-タスク_開始+1)</f>
        <v>#VALUE!</v>
      </c>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row>
    <row r="365" outlineLevel="1" hidden="1" spans="1:64" s="37" customFormat="1" ht="30" customHeight="1">
      <c r="A365" s="20"/>
      <c r="B365" s="103" t="str">
        <f>'2026'!B365</f>
        <v>9-16.○○機能（xxxxx）</v>
      </c>
      <c r="C365" s="104" t="str">
        <f>'2026'!C365</f>
        <v xml:space="preserve"> </v>
      </c>
      <c r="D365" s="105" t="str">
        <f>'2026'!D365</f>
        <v xml:space="preserve"> </v>
      </c>
      <c r="E365" s="106" t="str">
        <f>'2026'!E365</f>
        <v xml:space="preserve"> </v>
      </c>
      <c r="F365" s="106" t="str">
        <f>'2026'!F365</f>
        <v xml:space="preserve"> </v>
      </c>
      <c r="G365" s="36"/>
      <c r="H365" s="36" t="e">
        <f ca="1">IF(OR(ISBLANK(タスク_開始),ISBLANK(タスク_終了)),"",タスク_終了-タスク_開始+1)</f>
        <v>#VALUE!</v>
      </c>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row>
    <row r="366" outlineLevel="1" hidden="1" spans="1:64" s="37" customFormat="1" ht="30" customHeight="1">
      <c r="A366" s="20"/>
      <c r="B366" s="103" t="str">
        <f>'2026'!B366</f>
        <v>9-17.○○機能（xxxxx）</v>
      </c>
      <c r="C366" s="104" t="str">
        <f>'2026'!C366</f>
        <v xml:space="preserve"> </v>
      </c>
      <c r="D366" s="105" t="str">
        <f>'2026'!D366</f>
        <v xml:space="preserve"> </v>
      </c>
      <c r="E366" s="106" t="str">
        <f>'2026'!E366</f>
        <v xml:space="preserve"> </v>
      </c>
      <c r="F366" s="106" t="str">
        <f>'2026'!F366</f>
        <v xml:space="preserve"> </v>
      </c>
      <c r="G366" s="36"/>
      <c r="H366" s="36" t="e">
        <f ca="1">IF(OR(ISBLANK(タスク_開始),ISBLANK(タスク_終了)),"",タスク_終了-タスク_開始+1)</f>
        <v>#VALUE!</v>
      </c>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row>
    <row r="367" outlineLevel="1" hidden="1" spans="1:64" s="37" customFormat="1" ht="30" customHeight="1">
      <c r="A367" s="20"/>
      <c r="B367" s="103" t="str">
        <f>'2026'!B367</f>
        <v>9-18.○○機能（xxxxx）</v>
      </c>
      <c r="C367" s="104" t="str">
        <f>'2026'!C367</f>
        <v xml:space="preserve"> </v>
      </c>
      <c r="D367" s="105" t="str">
        <f>'2026'!D367</f>
        <v xml:space="preserve"> </v>
      </c>
      <c r="E367" s="106" t="str">
        <f>'2026'!E367</f>
        <v xml:space="preserve"> </v>
      </c>
      <c r="F367" s="106" t="str">
        <f>'2026'!F367</f>
        <v xml:space="preserve"> </v>
      </c>
      <c r="G367" s="36"/>
      <c r="H367" s="36" t="e">
        <f ca="1">IF(OR(ISBLANK(タスク_開始),ISBLANK(タスク_終了)),"",タスク_終了-タスク_開始+1)</f>
        <v>#VALUE!</v>
      </c>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row>
    <row r="368" outlineLevel="1" hidden="1" spans="1:64" s="37" customFormat="1" ht="30" customHeight="1">
      <c r="A368" s="20"/>
      <c r="B368" s="103" t="str">
        <f>'2026'!B368</f>
        <v>9-19.○○機能（xxxxx）</v>
      </c>
      <c r="C368" s="104" t="str">
        <f>'2026'!C368</f>
        <v xml:space="preserve"> </v>
      </c>
      <c r="D368" s="105" t="str">
        <f>'2026'!D368</f>
        <v xml:space="preserve"> </v>
      </c>
      <c r="E368" s="106" t="str">
        <f>'2026'!E368</f>
        <v xml:space="preserve"> </v>
      </c>
      <c r="F368" s="106" t="str">
        <f>'2026'!F368</f>
        <v xml:space="preserve"> </v>
      </c>
      <c r="G368" s="36"/>
      <c r="H368" s="36" t="e">
        <f ca="1">IF(OR(ISBLANK(タスク_開始),ISBLANK(タスク_終了)),"",タスク_終了-タスク_開始+1)</f>
        <v>#VALUE!</v>
      </c>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row>
    <row r="369" outlineLevel="1" hidden="1" spans="1:64" s="37" customFormat="1" ht="30" customHeight="1">
      <c r="A369" s="20"/>
      <c r="B369" s="103" t="str">
        <f>'2026'!B369</f>
        <v>9-20.○○機能（xxxxx）</v>
      </c>
      <c r="C369" s="104" t="str">
        <f>'2026'!C369</f>
        <v xml:space="preserve"> </v>
      </c>
      <c r="D369" s="105" t="str">
        <f>'2026'!D369</f>
        <v xml:space="preserve"> </v>
      </c>
      <c r="E369" s="106" t="str">
        <f>'2026'!E369</f>
        <v xml:space="preserve"> </v>
      </c>
      <c r="F369" s="106" t="str">
        <f>'2026'!F369</f>
        <v xml:space="preserve"> </v>
      </c>
      <c r="G369" s="36"/>
      <c r="H369" s="36" t="e">
        <f ca="1">IF(OR(ISBLANK(タスク_開始),ISBLANK(タスク_終了)),"",タスク_終了-タスク_開始+1)</f>
        <v>#VALUE!</v>
      </c>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row>
    <row r="370" outlineLevel="1" hidden="1" spans="1:64" s="37" customFormat="1" ht="30" customHeight="1">
      <c r="A370" s="20"/>
      <c r="B370" s="103" t="str">
        <f>'2026'!B370</f>
        <v>9-21.○○機能（xxxxx）</v>
      </c>
      <c r="C370" s="104" t="str">
        <f>'2026'!C370</f>
        <v xml:space="preserve"> </v>
      </c>
      <c r="D370" s="105" t="str">
        <f>'2026'!D370</f>
        <v xml:space="preserve"> </v>
      </c>
      <c r="E370" s="106" t="str">
        <f>'2026'!E370</f>
        <v xml:space="preserve"> </v>
      </c>
      <c r="F370" s="106" t="str">
        <f>'2026'!F370</f>
        <v xml:space="preserve"> </v>
      </c>
      <c r="G370" s="36"/>
      <c r="H370" s="36" t="e">
        <f ca="1">IF(OR(ISBLANK(タスク_開始),ISBLANK(タスク_終了)),"",タスク_終了-タスク_開始+1)</f>
        <v>#VALUE!</v>
      </c>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row>
    <row r="371" outlineLevel="1" hidden="1" spans="1:64" s="37" customFormat="1" ht="30" customHeight="1">
      <c r="A371" s="20"/>
      <c r="B371" s="103" t="str">
        <f>'2026'!B371</f>
        <v>9-22.○○機能（xxxxx）</v>
      </c>
      <c r="C371" s="104" t="str">
        <f>'2026'!C371</f>
        <v xml:space="preserve"> </v>
      </c>
      <c r="D371" s="105" t="str">
        <f>'2026'!D371</f>
        <v xml:space="preserve"> </v>
      </c>
      <c r="E371" s="106" t="str">
        <f>'2026'!E371</f>
        <v xml:space="preserve"> </v>
      </c>
      <c r="F371" s="106" t="str">
        <f>'2026'!F371</f>
        <v xml:space="preserve"> </v>
      </c>
      <c r="G371" s="36"/>
      <c r="H371" s="36" t="e">
        <f ca="1">IF(OR(ISBLANK(タスク_開始),ISBLANK(タスク_終了)),"",タスク_終了-タスク_開始+1)</f>
        <v>#VALUE!</v>
      </c>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row>
    <row r="372" outlineLevel="1" hidden="1" spans="1:64" s="37" customFormat="1" ht="30" customHeight="1">
      <c r="A372" s="20"/>
      <c r="B372" s="103" t="str">
        <f>'2026'!B372</f>
        <v>9-23.○○機能（xxxxx）</v>
      </c>
      <c r="C372" s="104" t="str">
        <f>'2026'!C372</f>
        <v xml:space="preserve"> </v>
      </c>
      <c r="D372" s="105" t="str">
        <f>'2026'!D372</f>
        <v xml:space="preserve"> </v>
      </c>
      <c r="E372" s="106" t="str">
        <f>'2026'!E372</f>
        <v xml:space="preserve"> </v>
      </c>
      <c r="F372" s="106" t="str">
        <f>'2026'!F372</f>
        <v xml:space="preserve"> </v>
      </c>
      <c r="G372" s="36"/>
      <c r="H372" s="36" t="e">
        <f ca="1">IF(OR(ISBLANK(タスク_開始),ISBLANK(タスク_終了)),"",タスク_終了-タスク_開始+1)</f>
        <v>#VALUE!</v>
      </c>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row>
    <row r="373" outlineLevel="1" hidden="1" spans="1:64" s="37" customFormat="1" ht="30" customHeight="1">
      <c r="A373" s="20"/>
      <c r="B373" s="103" t="str">
        <f>'2026'!B373</f>
        <v>9-24.○○機能（xxxxx）</v>
      </c>
      <c r="C373" s="104" t="str">
        <f>'2026'!C373</f>
        <v xml:space="preserve"> </v>
      </c>
      <c r="D373" s="105" t="str">
        <f>'2026'!D373</f>
        <v xml:space="preserve"> </v>
      </c>
      <c r="E373" s="106" t="str">
        <f>'2026'!E373</f>
        <v xml:space="preserve"> </v>
      </c>
      <c r="F373" s="106" t="str">
        <f>'2026'!F373</f>
        <v xml:space="preserve"> </v>
      </c>
      <c r="G373" s="36"/>
      <c r="H373" s="36" t="e">
        <f ca="1">IF(OR(ISBLANK(タスク_開始),ISBLANK(タスク_終了)),"",タスク_終了-タスク_開始+1)</f>
        <v>#VALUE!</v>
      </c>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row>
    <row r="374" outlineLevel="1" hidden="1" spans="1:64" s="37" customFormat="1" ht="30" customHeight="1">
      <c r="A374" s="20"/>
      <c r="B374" s="103" t="str">
        <f>'2026'!B374</f>
        <v>9-25.○○機能（xxxxx）</v>
      </c>
      <c r="C374" s="104" t="str">
        <f>'2026'!C374</f>
        <v xml:space="preserve"> </v>
      </c>
      <c r="D374" s="105" t="str">
        <f>'2026'!D374</f>
        <v xml:space="preserve"> </v>
      </c>
      <c r="E374" s="106" t="str">
        <f>'2026'!E374</f>
        <v xml:space="preserve"> </v>
      </c>
      <c r="F374" s="106" t="str">
        <f>'2026'!F374</f>
        <v xml:space="preserve"> </v>
      </c>
      <c r="G374" s="36"/>
      <c r="H374" s="36" t="e">
        <f ca="1">IF(OR(ISBLANK(タスク_開始),ISBLANK(タスク_終了)),"",タスク_終了-タスク_開始+1)</f>
        <v>#VALUE!</v>
      </c>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row>
    <row r="375" outlineLevel="1" hidden="1" spans="1:64" s="37" customFormat="1" ht="30" customHeight="1">
      <c r="A375" s="20"/>
      <c r="B375" s="103" t="str">
        <f>'2026'!B375</f>
        <v>9-26.○○機能（xxxxx）</v>
      </c>
      <c r="C375" s="104" t="str">
        <f>'2026'!C375</f>
        <v xml:space="preserve"> </v>
      </c>
      <c r="D375" s="105" t="str">
        <f>'2026'!D375</f>
        <v xml:space="preserve"> </v>
      </c>
      <c r="E375" s="106" t="str">
        <f>'2026'!E375</f>
        <v xml:space="preserve"> </v>
      </c>
      <c r="F375" s="106" t="str">
        <f>'2026'!F375</f>
        <v xml:space="preserve"> </v>
      </c>
      <c r="G375" s="36"/>
      <c r="H375" s="36" t="e">
        <f ca="1">IF(OR(ISBLANK(タスク_開始),ISBLANK(タスク_終了)),"",タスク_終了-タスク_開始+1)</f>
        <v>#VALUE!</v>
      </c>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row>
    <row r="376" outlineLevel="1" hidden="1" spans="1:64" s="37" customFormat="1" ht="30" customHeight="1">
      <c r="A376" s="20"/>
      <c r="B376" s="103" t="str">
        <f>'2026'!B376</f>
        <v>9-27.○○機能（xxxxx）</v>
      </c>
      <c r="C376" s="104" t="str">
        <f>'2026'!C376</f>
        <v xml:space="preserve"> </v>
      </c>
      <c r="D376" s="105" t="str">
        <f>'2026'!D376</f>
        <v xml:space="preserve"> </v>
      </c>
      <c r="E376" s="106" t="str">
        <f>'2026'!E376</f>
        <v xml:space="preserve"> </v>
      </c>
      <c r="F376" s="106" t="str">
        <f>'2026'!F376</f>
        <v xml:space="preserve"> </v>
      </c>
      <c r="G376" s="36"/>
      <c r="H376" s="36" t="e">
        <f ca="1">IF(OR(ISBLANK(タスク_開始),ISBLANK(タスク_終了)),"",タスク_終了-タスク_開始+1)</f>
        <v>#VALUE!</v>
      </c>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row>
    <row r="377" outlineLevel="1" hidden="1" spans="1:64" s="37" customFormat="1" ht="30" customHeight="1">
      <c r="A377" s="20"/>
      <c r="B377" s="103" t="str">
        <f>'2026'!B377</f>
        <v>9-28.○○機能（xxxxx）</v>
      </c>
      <c r="C377" s="104" t="str">
        <f>'2026'!C377</f>
        <v xml:space="preserve"> </v>
      </c>
      <c r="D377" s="105" t="str">
        <f>'2026'!D377</f>
        <v xml:space="preserve"> </v>
      </c>
      <c r="E377" s="106" t="str">
        <f>'2026'!E377</f>
        <v xml:space="preserve"> </v>
      </c>
      <c r="F377" s="106" t="str">
        <f>'2026'!F377</f>
        <v xml:space="preserve"> </v>
      </c>
      <c r="G377" s="36"/>
      <c r="H377" s="36" t="e">
        <f ca="1">IF(OR(ISBLANK(タスク_開始),ISBLANK(タスク_終了)),"",タスク_終了-タスク_開始+1)</f>
        <v>#VALUE!</v>
      </c>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row>
    <row r="378" outlineLevel="1" hidden="1" spans="1:64" s="37" customFormat="1" ht="30" customHeight="1">
      <c r="A378" s="20"/>
      <c r="B378" s="103" t="str">
        <f>'2026'!B378</f>
        <v>9-29.○○機能（xxxxx）</v>
      </c>
      <c r="C378" s="104" t="str">
        <f>'2026'!C378</f>
        <v xml:space="preserve"> </v>
      </c>
      <c r="D378" s="105" t="str">
        <f>'2026'!D378</f>
        <v xml:space="preserve"> </v>
      </c>
      <c r="E378" s="106" t="str">
        <f>'2026'!E378</f>
        <v xml:space="preserve"> </v>
      </c>
      <c r="F378" s="106" t="str">
        <f>'2026'!F378</f>
        <v xml:space="preserve"> </v>
      </c>
      <c r="G378" s="36"/>
      <c r="H378" s="36" t="e">
        <f ca="1">IF(OR(ISBLANK(タスク_開始),ISBLANK(タスク_終了)),"",タスク_終了-タスク_開始+1)</f>
        <v>#VALUE!</v>
      </c>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row>
    <row r="379" outlineLevel="1" hidden="1" spans="1:64" s="37" customFormat="1" ht="30" customHeight="1">
      <c r="A379" s="20"/>
      <c r="B379" s="103" t="str">
        <f>'2026'!B379</f>
        <v>9-30.○○機能（xxxxx）</v>
      </c>
      <c r="C379" s="104" t="str">
        <f>'2026'!C379</f>
        <v xml:space="preserve"> </v>
      </c>
      <c r="D379" s="105" t="str">
        <f>'2026'!D379</f>
        <v xml:space="preserve"> </v>
      </c>
      <c r="E379" s="106" t="str">
        <f>'2026'!E379</f>
        <v xml:space="preserve"> </v>
      </c>
      <c r="F379" s="106" t="str">
        <f>'2026'!F379</f>
        <v xml:space="preserve"> </v>
      </c>
      <c r="G379" s="36"/>
      <c r="H379" s="36" t="e">
        <f ca="1">IF(OR(ISBLANK(タスク_開始),ISBLANK(タスク_終了)),"",タスク_終了-タスク_開始+1)</f>
        <v>#VALUE!</v>
      </c>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row>
    <row r="380" collapsed="1" spans="1:64" s="37" customFormat="1" ht="30" customHeight="1">
      <c r="A380" s="20" t="s">
        <v>74</v>
      </c>
      <c r="B380" s="107" t="s">
        <v>398</v>
      </c>
      <c r="C380" s="108"/>
      <c r="D380" s="109"/>
      <c r="E380" s="110"/>
      <c r="F380" s="111"/>
      <c r="G380" s="36"/>
      <c r="H380" s="36" t="str">
        <f ca="1">IF(OR(ISBLANK(タスク_開始),ISBLANK(タスク_終了)),"",タスク_終了-タスク_開始+1)</f>
        <v/>
      </c>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row>
    <row r="381" spans="1:64" s="37" customFormat="1" ht="30" customHeight="1">
      <c r="A381" s="20"/>
      <c r="B381" s="112" t="str">
        <f>'2026'!B381</f>
        <v>進捗発表準備</v>
      </c>
      <c r="C381" s="113" t="str">
        <f>'2026'!C381</f>
        <v xml:space="preserve"> </v>
      </c>
      <c r="D381" s="114" t="str">
        <f>'2026'!D381</f>
        <v xml:space="preserve"> </v>
      </c>
      <c r="E381" s="115" t="str">
        <f>'2026'!E381</f>
        <v xml:space="preserve"> </v>
      </c>
      <c r="F381" s="115" t="str">
        <f>'2026'!F381</f>
        <v xml:space="preserve"> </v>
      </c>
      <c r="G381" s="36"/>
      <c r="H381" s="36" t="e">
        <f ca="1">IF(OR(ISBLANK(タスク_開始),ISBLANK(タスク_終了)),"",タスク_終了-タスク_開始+1)</f>
        <v>#VALUE!</v>
      </c>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row>
    <row r="382" spans="1:64" s="37" customFormat="1" ht="30" customHeight="1">
      <c r="A382" s="20"/>
      <c r="B382" s="112" t="str">
        <f>'2026'!B382</f>
        <v>進捗発表</v>
      </c>
      <c r="C382" s="113" t="str">
        <f>'2026'!C382</f>
        <v xml:space="preserve"> </v>
      </c>
      <c r="D382" s="114" t="str">
        <f>'2026'!D382</f>
        <v xml:space="preserve"> </v>
      </c>
      <c r="E382" s="115" t="str">
        <f>'2026'!E382</f>
        <v xml:space="preserve"> </v>
      </c>
      <c r="F382" s="115" t="str">
        <f>'2026'!F382</f>
        <v xml:space="preserve"> </v>
      </c>
      <c r="G382" s="36"/>
      <c r="H382" s="36" t="e">
        <f ca="1">IF(OR(ISBLANK(タスク_開始),ISBLANK(タスク_終了)),"",タスク_終了-タスク_開始+1)</f>
        <v>#VALUE!</v>
      </c>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row>
    <row r="383" spans="1:64" s="37" customFormat="1" ht="30" customHeight="1">
      <c r="A383" s="20"/>
      <c r="B383" s="112" t="str">
        <f>'2026'!B383</f>
        <v>内部発表準備</v>
      </c>
      <c r="C383" s="113" t="str">
        <f>'2026'!C383</f>
        <v xml:space="preserve"> </v>
      </c>
      <c r="D383" s="114" t="str">
        <f>'2026'!D383</f>
        <v xml:space="preserve"> </v>
      </c>
      <c r="E383" s="115" t="str">
        <f>'2026'!E383</f>
        <v xml:space="preserve"> </v>
      </c>
      <c r="F383" s="115" t="str">
        <f>'2026'!F383</f>
        <v xml:space="preserve"> </v>
      </c>
      <c r="G383" s="36"/>
      <c r="H383" s="36" t="e">
        <f ca="1">IF(OR(ISBLANK(タスク_開始),ISBLANK(タスク_終了)),"",タスク_終了-タスク_開始+1)</f>
        <v>#VALUE!</v>
      </c>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row>
    <row r="384" spans="1:64" s="37" customFormat="1" ht="30" customHeight="1">
      <c r="A384" s="20"/>
      <c r="B384" s="112" t="str">
        <f>'2026'!B384</f>
        <v>内部発表</v>
      </c>
      <c r="C384" s="113" t="str">
        <f>'2026'!C384</f>
        <v xml:space="preserve"> </v>
      </c>
      <c r="D384" s="114" t="str">
        <f>'2026'!D384</f>
        <v xml:space="preserve"> </v>
      </c>
      <c r="E384" s="115" t="str">
        <f>'2026'!E384</f>
        <v xml:space="preserve"> </v>
      </c>
      <c r="F384" s="115" t="str">
        <f>'2026'!F384</f>
        <v xml:space="preserve"> </v>
      </c>
      <c r="G384" s="36"/>
      <c r="H384" s="36" t="e">
        <f ca="1">IF(OR(ISBLANK(タスク_開始),ISBLANK(タスク_終了)),"",タスク_終了-タスク_開始+1)</f>
        <v>#VALUE!</v>
      </c>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row>
    <row r="385" spans="1:64" s="37" customFormat="1" ht="30" customHeight="1">
      <c r="A385" s="20"/>
      <c r="B385" s="112" t="str">
        <f>'2026'!B385</f>
        <v>外部発表</v>
      </c>
      <c r="C385" s="113" t="str">
        <f>'2026'!C385</f>
        <v xml:space="preserve"> </v>
      </c>
      <c r="D385" s="114" t="str">
        <f>'2026'!D385</f>
        <v xml:space="preserve"> </v>
      </c>
      <c r="E385" s="115" t="str">
        <f>'2026'!E385</f>
        <v xml:space="preserve"> </v>
      </c>
      <c r="F385" s="115" t="str">
        <f>'2026'!F385</f>
        <v xml:space="preserve"> </v>
      </c>
      <c r="G385" s="36"/>
      <c r="H385" s="36" t="e">
        <f ca="1">IF(OR(ISBLANK(タスク_開始),ISBLANK(タスク_終了)),"",タスク_終了-タスク_開始+1)</f>
        <v>#VALUE!</v>
      </c>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row>
    <row r="386" spans="1:64" s="37" customFormat="1" ht="30" customHeight="1">
      <c r="A386" s="20" t="s">
        <v>402</v>
      </c>
      <c r="B386" s="116"/>
      <c r="C386" s="117"/>
      <c r="D386" s="118"/>
      <c r="E386" s="119"/>
      <c r="F386" s="119"/>
      <c r="G386" s="36"/>
      <c r="H386" s="36" t="str">
        <f ca="1">IF(OR(ISBLANK(タスク_開始),ISBLANK(タスク_終了)),"",タスク_終了-タスク_開始+1)</f>
        <v/>
      </c>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row>
    <row r="387" spans="1:64" s="37" customFormat="1" ht="30" customHeight="1">
      <c r="A387" s="13" t="s">
        <v>403</v>
      </c>
      <c r="B387" s="120" t="s">
        <v>404</v>
      </c>
      <c r="C387" s="121"/>
      <c r="D387" s="122"/>
      <c r="E387" s="123"/>
      <c r="F387" s="124"/>
      <c r="G387" s="125"/>
      <c r="H387" s="125" t="str">
        <f ca="1">IF(OR(ISBLANK(タスク_開始),ISBLANK(タスク_終了)),"",タスク_終了-タスク_開始+1)</f>
        <v/>
      </c>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c r="BE387" s="126"/>
      <c r="BF387" s="126"/>
      <c r="BG387" s="126"/>
      <c r="BH387" s="126"/>
      <c r="BI387" s="126"/>
      <c r="BJ387" s="126"/>
      <c r="BK387" s="126"/>
      <c r="BL387" s="126"/>
    </row>
    <row r="388" spans="1:64" ht="30" customHeight="1">
      <c r="G388" s="127"/>
    </row>
    <row r="389" spans="1:64" ht="30" customHeight="1">
      <c r="C389" s="128"/>
      <c r="F389" s="129"/>
    </row>
    <row r="390" spans="1:64" ht="30" customHeight="1">
      <c r="C390" s="137"/>
    </row>
  </sheetData>
  <sheetProtection algorithmName="SHA-512" hashValue="s5v2N3tPI5416rRPDuB5h2Xgx9/DJn6o5yGayxZyXTmDix6rnNSKnIbWHoQuE22nzcJA5o2Nl7pA3PQVdEGCyQ==" saltValue="JrSGEzJhB/AWzck75OAJvA==" spinCount="100000" sheet="1" objects="1" scenarios="1"/>
  <mergeCells count="11">
    <mergeCell ref="AD4:AJ4"/>
    <mergeCell ref="AK4:AQ4"/>
    <mergeCell ref="AR4:AX4"/>
    <mergeCell ref="AY4:BE4"/>
    <mergeCell ref="BF4:BL4"/>
    <mergeCell ref="W4:AC4"/>
    <mergeCell ref="C3:D3"/>
    <mergeCell ref="E3:F3"/>
    <mergeCell ref="C4:D4"/>
    <mergeCell ref="I4:O4"/>
    <mergeCell ref="P4:V4"/>
  </mergeCells>
  <phoneticPr fontId="19"/>
  <conditionalFormatting sqref="D7:D387">
    <cfRule type="dataBar" priority="1">
      <dataBar>
        <cfvo type="num" val="0"/>
        <cfvo type="num" val="1"/>
        <color theme="0" tint="-0.249977111117893"/>
      </dataBar>
      <extLst>
        <ext xmlns:x14="http://schemas.microsoft.com/office/spreadsheetml/2009/9/main" uri="{B025F937-C7B1-47D3-B67F-A62EFF666E3E}">
          <x14:id>{9230402E-BC59-48E5-B882-BC5DC7777797}</x14:id>
        </ext>
      </extLst>
    </cfRule>
  </conditionalFormatting>
  <conditionalFormatting sqref="I5:BL387">
    <cfRule type="expression" dxfId="2" priority="4">
      <formula>AND(TODAY()&gt;=I$5,TODAY()&lt;J$5)</formula>
    </cfRule>
  </conditionalFormatting>
  <conditionalFormatting sqref="I7:BL387">
    <cfRule type="expression" dxfId="1" priority="2">
      <formula>AND(タスク_開始&lt;=I$5,ROUNDDOWN((タスク_終了-タスク_開始+1)*タスク_進捗状況,0)+タスク_開始-1&gt;=I$5)</formula>
    </cfRule>
    <cfRule type="expression" dxfId="0" priority="3"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E38B2A90-EF94-4B37-9BE6-C9DBC0DBFFBB}">
      <formula1>1</formula1>
    </dataValidation>
  </dataValidations>
  <printOptions horizontalCentered="1"/>
  <pageMargins left="0.35" right="0.35" top="0.35" bottom="0.5" header="0.3" footer="0.3"/>
  <pageSetup paperSize="9" scale="49" fitToHeight="0" orientation="landscape"/>
  <headerFooter differentFirst="1" scaleWithDoc="0">
    <oddFooter>Page &amp;P of &amp;N</oddFooter>
  </headerFooter>
  <rowBreaks count="1" manualBreakCount="1">
    <brk id="386" max="16383" man="1"/>
  </rowBreaks>
  <colBreaks count="1" manualBreakCount="1">
    <brk id="1" max="1048575" man="1"/>
  </colBreaks>
  <legacyDrawing r:id="rId1"/>
  <extLst>
    <ext xmlns:x14="http://schemas.microsoft.com/office/spreadsheetml/2009/9/main" uri="{78C0D931-6437-407d-A8EE-F0AAD7539E65}">
      <x14:conditionalFormattings>
        <x14:conditionalFormatting xmlns:xm="http://schemas.microsoft.com/office/excel/2006/main">
          <x14:cfRule type="dataBar" id="{9230402E-BC59-48E5-B882-BC5DC7777797}">
            <x14:dataBar minLength="0" maxLength="100" gradient="0">
              <x14:cfvo type="num">
                <xm:f>0</xm:f>
              </x14:cfvo>
              <x14:cfvo type="num">
                <xm:f>1</xm:f>
              </x14:cfvo>
              <x14:negativeFillColor rgb="FFFF0000"/>
              <x14:axisColor rgb="FF000000"/>
            </x14:dataBar>
          </x14:cfRule>
          <xm:sqref>D7:D387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7" zoomScaleNormal="100" workbookViewId="0"/>
  </sheetViews>
  <sheetFormatPr defaultColWidth="9" defaultRowHeight="14.25"/>
  <cols>
    <col min="1" max="1" width="87" style="1" customWidth="1"/>
    <col min="2" max="16384" width="9" style="2"/>
  </cols>
  <sheetData>
    <row r="1" spans="1:2" ht="46.5" customHeight="1"/>
    <row r="2" spans="1:2" s="4" customFormat="1" ht="16.5">
      <c r="A2" s="3" t="s">
        <v>406</v>
      </c>
      <c r="B2" s="3"/>
    </row>
    <row r="3" spans="1:2" s="7" customFormat="1" ht="27" customHeight="1">
      <c r="A3" s="5" t="s">
        <v>407</v>
      </c>
      <c r="B3" s="6"/>
    </row>
    <row r="4" spans="1:2" s="9" customFormat="1" ht="26.65">
      <c r="A4" s="8" t="s">
        <v>408</v>
      </c>
    </row>
    <row r="5" spans="1:2" ht="61.5" customHeight="1">
      <c r="A5" s="10" t="s">
        <v>409</v>
      </c>
    </row>
    <row r="6" spans="1:2" ht="26.25" customHeight="1">
      <c r="A6" s="8" t="s">
        <v>410</v>
      </c>
    </row>
    <row r="7" spans="1:2" s="1" customFormat="1" ht="198" customHeight="1">
      <c r="A7" s="11" t="s">
        <v>411</v>
      </c>
    </row>
    <row r="8" spans="1:2" s="9" customFormat="1" ht="26.65">
      <c r="A8" s="8" t="s">
        <v>412</v>
      </c>
    </row>
    <row r="9" spans="1:2" ht="45">
      <c r="A9" s="10" t="s">
        <v>413</v>
      </c>
    </row>
    <row r="10" spans="1:2" s="1" customFormat="1" ht="27.95" customHeight="1">
      <c r="A10" s="12" t="s">
        <v>414</v>
      </c>
    </row>
    <row r="11" spans="1:2" s="9" customFormat="1" ht="26.65">
      <c r="A11" s="8" t="s">
        <v>415</v>
      </c>
    </row>
    <row r="12" spans="1:2" ht="30">
      <c r="A12" s="10" t="s">
        <v>416</v>
      </c>
    </row>
    <row r="13" spans="1:2" s="1" customFormat="1" ht="27.95" customHeight="1">
      <c r="A13" s="12" t="s">
        <v>417</v>
      </c>
    </row>
    <row r="14" spans="1:2" s="9" customFormat="1" ht="26.65">
      <c r="A14" s="8" t="s">
        <v>418</v>
      </c>
    </row>
    <row r="15" spans="1:2" ht="64.5" customHeight="1">
      <c r="A15" s="10" t="s">
        <v>419</v>
      </c>
    </row>
    <row r="16" spans="1:2" ht="45">
      <c r="A16" s="10" t="s">
        <v>420</v>
      </c>
    </row>
  </sheetData>
  <phoneticPr fontId="1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886EE07DD025F4BA30A6111A46FD589" ma:contentTypeVersion="16" ma:contentTypeDescription="新しいドキュメントを作成します。" ma:contentTypeScope="" ma:versionID="0549727d0009cc993db7b3da00e33b29">
  <xsd:schema xmlns:xsd="http://www.w3.org/2001/XMLSchema" xmlns:xs="http://www.w3.org/2001/XMLSchema" xmlns:p="http://schemas.microsoft.com/office/2006/metadata/properties" xmlns:ns2="f008d7bc-7a3d-4955-8a63-6953bacf44a7" xmlns:ns3="59faf533-ad2c-496b-b5e0-a52127c62194" targetNamespace="http://schemas.microsoft.com/office/2006/metadata/properties" ma:root="true" ma:fieldsID="cb68a5cd9e344bafa2bbe47a08c26d62" ns2:_="" ns3:_="">
    <xsd:import namespace="f008d7bc-7a3d-4955-8a63-6953bacf44a7"/>
    <xsd:import namespace="59faf533-ad2c-496b-b5e0-a52127c6219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8d7bc-7a3d-4955-8a63-6953bacf44a7"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23f653e7-660a-42c2-b657-1c4ae64c3a39}" ma:internalName="TaxCatchAll" ma:showField="CatchAllData" ma:web="f008d7bc-7a3d-4955-8a63-6953bacf44a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9faf533-ad2c-496b-b5e0-a52127c6219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2747fa68-eb60-401e-9ff8-e6fdd151a94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008d7bc-7a3d-4955-8a63-6953bacf44a7" xsi:nil="true"/>
    <lcf76f155ced4ddcb4097134ff3c332f xmlns="59faf533-ad2c-496b-b5e0-a52127c6219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DAF441-4814-43F2-9C39-7C601BBBBA1B}"/>
</file>

<file path=customXml/itemProps2.xml><?xml version="1.0" encoding="utf-8"?>
<ds:datastoreItem xmlns:ds="http://schemas.openxmlformats.org/officeDocument/2006/customXml" ds:itemID="{8FE8ED85-58B3-4608-8E91-0433556D50CE}"/>
</file>

<file path=customXml/itemProps3.xml><?xml version="1.0" encoding="utf-8"?>
<ds:datastoreItem xmlns:ds="http://schemas.openxmlformats.org/officeDocument/2006/customXml" ds:itemID="{5144944C-1F1D-4162-962A-96F3FC8455D8}"/>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R4S104 Uegama Towa</cp:lastModifiedBy>
  <cp:revision/>
  <dcterms:created xsi:type="dcterms:W3CDTF">2024-10-29T04:20:25Z</dcterms:created>
  <dcterms:modified xsi:type="dcterms:W3CDTF">2026-10-27T02:17:37Z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0x010100A886EE07DD025F4BA30A6111A46FD589</vt:lpwstr>
  </property>
  <property fmtid="{D5CDD505-2E9C-101B-9397-08002B2CF9AE}" pid="3" name="MediaServiceImageTags">
    <vt:lpwstr/>
  </property>
</Properties>
</file>